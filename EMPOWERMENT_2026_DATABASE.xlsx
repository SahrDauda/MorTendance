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rgbo1629145\Downloads\"/>
    </mc:Choice>
  </mc:AlternateContent>
  <xr:revisionPtr revIDLastSave="0" documentId="13_ncr:1_{1928ED1C-9E3C-49BD-921B-99189EFFD6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OWERMENT GROUP" sheetId="1" r:id="rId1"/>
    <sheet name="REPORTING DATA" sheetId="5" r:id="rId2"/>
    <sheet name="Computation" sheetId="2" r:id="rId3"/>
  </sheets>
  <definedNames>
    <definedName name="Attende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243" i="1" l="1"/>
  <c r="BO244" i="1"/>
  <c r="BO245" i="1"/>
  <c r="BO246" i="1"/>
  <c r="BO247" i="1"/>
  <c r="BO248" i="1"/>
  <c r="BO249" i="1"/>
  <c r="BO250" i="1"/>
  <c r="BO251" i="1"/>
  <c r="BO252" i="1"/>
  <c r="BO253" i="1"/>
  <c r="BO254" i="1"/>
  <c r="BO255" i="1"/>
  <c r="BO256" i="1"/>
  <c r="BO257" i="1"/>
  <c r="BO258" i="1"/>
  <c r="BO259" i="1"/>
  <c r="BO260" i="1"/>
  <c r="BO261" i="1"/>
  <c r="BO262" i="1"/>
  <c r="BO263" i="1"/>
  <c r="BO264" i="1"/>
  <c r="BO265" i="1"/>
  <c r="BO266" i="1"/>
  <c r="BO267" i="1"/>
  <c r="BO268" i="1"/>
  <c r="BO269" i="1"/>
  <c r="BO270" i="1"/>
  <c r="BO271" i="1"/>
  <c r="BO272" i="1"/>
  <c r="BO273" i="1"/>
  <c r="BO274" i="1"/>
  <c r="BO275" i="1"/>
  <c r="BO276" i="1"/>
  <c r="BO277" i="1"/>
  <c r="BO278" i="1"/>
  <c r="BO279" i="1"/>
  <c r="BO280" i="1"/>
  <c r="BO281" i="1"/>
  <c r="BO282" i="1"/>
  <c r="BO283" i="1"/>
  <c r="BO284" i="1"/>
  <c r="BO285" i="1"/>
  <c r="BO286" i="1"/>
  <c r="BO287" i="1"/>
  <c r="BO288" i="1"/>
  <c r="BO289" i="1"/>
  <c r="BO290" i="1"/>
  <c r="BO291" i="1"/>
  <c r="BO292" i="1"/>
  <c r="BO293" i="1"/>
  <c r="BO294" i="1"/>
  <c r="BO295" i="1"/>
  <c r="BO296" i="1"/>
  <c r="BO297" i="1"/>
  <c r="BO298" i="1"/>
  <c r="BO299" i="1"/>
  <c r="BO300" i="1"/>
  <c r="BO301" i="1"/>
  <c r="BO302" i="1"/>
  <c r="BO303" i="1"/>
  <c r="BO304" i="1"/>
  <c r="BO305" i="1"/>
  <c r="BO306" i="1"/>
  <c r="BO307" i="1"/>
  <c r="BO308" i="1"/>
  <c r="BO309" i="1"/>
  <c r="BO310" i="1"/>
  <c r="BO311" i="1"/>
  <c r="BO312" i="1"/>
  <c r="BO313" i="1"/>
  <c r="BO314" i="1"/>
  <c r="BO315" i="1"/>
  <c r="BO316" i="1"/>
  <c r="BO317" i="1"/>
  <c r="BO318" i="1"/>
  <c r="BO319" i="1"/>
  <c r="BO320" i="1"/>
  <c r="BO321" i="1"/>
  <c r="BO322" i="1"/>
  <c r="BO323" i="1"/>
  <c r="BO324" i="1"/>
  <c r="BO325" i="1"/>
  <c r="BO326" i="1"/>
  <c r="BO327" i="1"/>
  <c r="BO328" i="1"/>
  <c r="BO329" i="1"/>
  <c r="BO330" i="1"/>
  <c r="BO331" i="1"/>
  <c r="BO332" i="1"/>
  <c r="BO333" i="1"/>
  <c r="BO334" i="1"/>
  <c r="BO335" i="1"/>
  <c r="BO336" i="1"/>
  <c r="BO337" i="1"/>
  <c r="BO338" i="1"/>
  <c r="BO339" i="1"/>
  <c r="BO340" i="1"/>
  <c r="BO341" i="1"/>
  <c r="BO342" i="1"/>
  <c r="BO343" i="1"/>
  <c r="BO344" i="1"/>
  <c r="BO345" i="1"/>
  <c r="BO346" i="1"/>
  <c r="BO347" i="1"/>
  <c r="BO242" i="1"/>
  <c r="BO140" i="1"/>
  <c r="BO141" i="1"/>
  <c r="BO142" i="1"/>
  <c r="BO143" i="1"/>
  <c r="BO144" i="1"/>
  <c r="BO145" i="1"/>
  <c r="BO146" i="1"/>
  <c r="BO147" i="1"/>
  <c r="BO148" i="1"/>
  <c r="BO149" i="1"/>
  <c r="BO150" i="1"/>
  <c r="BO151" i="1"/>
  <c r="BO152" i="1"/>
  <c r="BO153" i="1"/>
  <c r="BO154" i="1"/>
  <c r="BO155" i="1"/>
  <c r="BO156" i="1"/>
  <c r="BO157" i="1"/>
  <c r="BO158" i="1"/>
  <c r="BO159" i="1"/>
  <c r="BO160" i="1"/>
  <c r="BO161" i="1"/>
  <c r="BO162" i="1"/>
  <c r="BO163" i="1"/>
  <c r="BO164" i="1"/>
  <c r="BO165" i="1"/>
  <c r="BO166" i="1"/>
  <c r="BO167" i="1"/>
  <c r="BO168" i="1"/>
  <c r="BO169" i="1"/>
  <c r="BO170" i="1"/>
  <c r="BO171" i="1"/>
  <c r="BO172" i="1"/>
  <c r="BO173" i="1"/>
  <c r="BO174" i="1"/>
  <c r="BO175" i="1"/>
  <c r="BO176" i="1"/>
  <c r="BO177" i="1"/>
  <c r="BO178" i="1"/>
  <c r="BO179" i="1"/>
  <c r="BO180" i="1"/>
  <c r="BO181" i="1"/>
  <c r="BO182" i="1"/>
  <c r="BO183" i="1"/>
  <c r="BO184" i="1"/>
  <c r="BO185" i="1"/>
  <c r="BO186" i="1"/>
  <c r="BO187" i="1"/>
  <c r="BO188" i="1"/>
  <c r="BO189" i="1"/>
  <c r="BO190" i="1"/>
  <c r="BO191" i="1"/>
  <c r="BO192" i="1"/>
  <c r="BO193" i="1"/>
  <c r="BO194" i="1"/>
  <c r="BO195" i="1"/>
  <c r="BO196" i="1"/>
  <c r="BO197" i="1"/>
  <c r="BO198" i="1"/>
  <c r="BO199" i="1"/>
  <c r="BO200" i="1"/>
  <c r="BO201" i="1"/>
  <c r="BO202" i="1"/>
  <c r="BO203" i="1"/>
  <c r="BO204" i="1"/>
  <c r="BO205" i="1"/>
  <c r="BO206" i="1"/>
  <c r="BO207" i="1"/>
  <c r="BO208" i="1"/>
  <c r="BO209" i="1"/>
  <c r="BO210" i="1"/>
  <c r="BO211" i="1"/>
  <c r="BO212" i="1"/>
  <c r="BO213" i="1"/>
  <c r="BO214" i="1"/>
  <c r="BO215" i="1"/>
  <c r="BO216" i="1"/>
  <c r="BO217" i="1"/>
  <c r="BO218" i="1"/>
  <c r="BO219" i="1"/>
  <c r="BO220" i="1"/>
  <c r="BO221" i="1"/>
  <c r="BO222" i="1"/>
  <c r="BO223" i="1"/>
  <c r="BO224" i="1"/>
  <c r="BO225" i="1"/>
  <c r="BO226" i="1"/>
  <c r="BO227" i="1"/>
  <c r="BO228" i="1"/>
  <c r="BO229" i="1"/>
  <c r="BO230" i="1"/>
  <c r="BO231" i="1"/>
  <c r="BO232" i="1"/>
  <c r="BO233" i="1"/>
  <c r="BO234" i="1"/>
  <c r="BO235" i="1"/>
  <c r="BO236" i="1"/>
  <c r="BO237" i="1"/>
  <c r="BO238" i="1"/>
  <c r="BO239" i="1"/>
  <c r="BO139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99" i="1"/>
  <c r="BO100" i="1"/>
  <c r="BO101" i="1"/>
  <c r="BO102" i="1"/>
  <c r="BO103" i="1"/>
  <c r="BO104" i="1"/>
  <c r="BO105" i="1"/>
  <c r="BO106" i="1"/>
  <c r="BO107" i="1"/>
  <c r="BO108" i="1"/>
  <c r="BO109" i="1"/>
  <c r="BO110" i="1"/>
  <c r="BO111" i="1"/>
  <c r="BO112" i="1"/>
  <c r="BO113" i="1"/>
  <c r="BO114" i="1"/>
  <c r="BO115" i="1"/>
  <c r="BO116" i="1"/>
  <c r="BO117" i="1"/>
  <c r="BO118" i="1"/>
  <c r="BO119" i="1"/>
  <c r="BO120" i="1"/>
  <c r="BO121" i="1"/>
  <c r="BO122" i="1"/>
  <c r="BO123" i="1"/>
  <c r="BO124" i="1"/>
  <c r="BO125" i="1"/>
  <c r="BO126" i="1"/>
  <c r="BO127" i="1"/>
  <c r="BO128" i="1"/>
  <c r="BO129" i="1"/>
  <c r="BO130" i="1"/>
  <c r="BO131" i="1"/>
  <c r="BO132" i="1"/>
  <c r="BO133" i="1"/>
  <c r="BO134" i="1"/>
  <c r="BO135" i="1"/>
  <c r="BO136" i="1"/>
  <c r="BO37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22" i="1"/>
  <c r="BO16" i="1"/>
  <c r="BO17" i="1"/>
  <c r="BO18" i="1"/>
  <c r="BO19" i="1"/>
  <c r="BO15" i="1"/>
  <c r="BO6" i="1"/>
  <c r="BO7" i="1"/>
  <c r="BO8" i="1"/>
  <c r="BO9" i="1"/>
  <c r="BO10" i="1"/>
  <c r="BO11" i="1"/>
  <c r="BO12" i="1"/>
  <c r="BO5" i="1"/>
  <c r="BG5" i="1"/>
  <c r="AW243" i="1"/>
  <c r="AW244" i="1"/>
  <c r="AW245" i="1"/>
  <c r="AW246" i="1"/>
  <c r="AW247" i="1"/>
  <c r="AW248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W310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242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W18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139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37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22" i="1"/>
  <c r="AW16" i="1"/>
  <c r="AW17" i="1"/>
  <c r="AW18" i="1"/>
  <c r="AW19" i="1"/>
  <c r="AW15" i="1"/>
  <c r="AW6" i="1"/>
  <c r="AW7" i="1"/>
  <c r="AW8" i="1"/>
  <c r="AW9" i="1"/>
  <c r="AW10" i="1"/>
  <c r="AW11" i="1"/>
  <c r="AW12" i="1"/>
  <c r="AW5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242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139" i="1"/>
  <c r="W1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37" i="1"/>
  <c r="W23" i="1"/>
  <c r="W24" i="1"/>
  <c r="W25" i="1"/>
  <c r="W26" i="1"/>
  <c r="W27" i="1"/>
  <c r="W28" i="1"/>
  <c r="W29" i="1"/>
  <c r="W30" i="1"/>
  <c r="W31" i="1"/>
  <c r="W32" i="1"/>
  <c r="W33" i="1"/>
  <c r="W34" i="1"/>
  <c r="W22" i="1"/>
  <c r="W16" i="1"/>
  <c r="W17" i="1"/>
  <c r="W18" i="1"/>
  <c r="W19" i="1"/>
  <c r="W15" i="1"/>
  <c r="W6" i="1"/>
  <c r="W7" i="1"/>
  <c r="W8" i="1"/>
  <c r="W9" i="1"/>
  <c r="W10" i="1"/>
  <c r="W11" i="1"/>
  <c r="W12" i="1"/>
  <c r="W5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242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139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37" i="1"/>
  <c r="V23" i="1"/>
  <c r="V24" i="1"/>
  <c r="V25" i="1"/>
  <c r="V26" i="1"/>
  <c r="V27" i="1"/>
  <c r="V28" i="1"/>
  <c r="V29" i="1"/>
  <c r="V30" i="1"/>
  <c r="V31" i="1"/>
  <c r="V32" i="1"/>
  <c r="V33" i="1"/>
  <c r="V34" i="1"/>
  <c r="V22" i="1"/>
  <c r="V16" i="1"/>
  <c r="V17" i="1"/>
  <c r="V18" i="1"/>
  <c r="V19" i="1"/>
  <c r="V15" i="1"/>
  <c r="V6" i="1"/>
  <c r="V7" i="1"/>
  <c r="V8" i="1"/>
  <c r="V9" i="1"/>
  <c r="V10" i="1"/>
  <c r="V11" i="1"/>
  <c r="V12" i="1"/>
  <c r="V5" i="1"/>
  <c r="CD349" i="1"/>
  <c r="CD350" i="1"/>
  <c r="AJ19" i="5"/>
  <c r="AJ18" i="5"/>
  <c r="CZ351" i="1"/>
  <c r="BZ351" i="1"/>
  <c r="BA351" i="1"/>
  <c r="CZ350" i="1"/>
  <c r="CT350" i="1"/>
  <c r="CS350" i="1"/>
  <c r="CR350" i="1"/>
  <c r="CQ350" i="1"/>
  <c r="CM350" i="1"/>
  <c r="CL350" i="1"/>
  <c r="CK350" i="1"/>
  <c r="CJ350" i="1"/>
  <c r="CF350" i="1"/>
  <c r="CE350" i="1"/>
  <c r="CB350" i="1"/>
  <c r="BZ350" i="1"/>
  <c r="BT350" i="1"/>
  <c r="BS350" i="1"/>
  <c r="BR350" i="1"/>
  <c r="BQ350" i="1"/>
  <c r="BM350" i="1"/>
  <c r="BL350" i="1"/>
  <c r="BK350" i="1"/>
  <c r="BJ350" i="1"/>
  <c r="BI350" i="1"/>
  <c r="BE350" i="1"/>
  <c r="BD350" i="1"/>
  <c r="BC350" i="1"/>
  <c r="BB350" i="1"/>
  <c r="BA350" i="1"/>
  <c r="AU350" i="1"/>
  <c r="AT350" i="1"/>
  <c r="AS350" i="1"/>
  <c r="AR350" i="1"/>
  <c r="AN350" i="1"/>
  <c r="AM350" i="1"/>
  <c r="AL350" i="1"/>
  <c r="AJ350" i="1"/>
  <c r="AF350" i="1"/>
  <c r="AE350" i="1"/>
  <c r="AD350" i="1"/>
  <c r="AC350" i="1"/>
  <c r="U350" i="1"/>
  <c r="T350" i="1"/>
  <c r="S350" i="1"/>
  <c r="R350" i="1"/>
  <c r="N350" i="1"/>
  <c r="M350" i="1"/>
  <c r="L350" i="1"/>
  <c r="K350" i="1"/>
  <c r="G350" i="1"/>
  <c r="F350" i="1"/>
  <c r="E350" i="1"/>
  <c r="C350" i="1"/>
  <c r="CZ349" i="1"/>
  <c r="CT349" i="1"/>
  <c r="CS349" i="1"/>
  <c r="CR349" i="1"/>
  <c r="CQ349" i="1"/>
  <c r="CM349" i="1"/>
  <c r="CL349" i="1"/>
  <c r="CK349" i="1"/>
  <c r="CJ349" i="1"/>
  <c r="CF349" i="1"/>
  <c r="CE349" i="1"/>
  <c r="CB349" i="1"/>
  <c r="BZ349" i="1"/>
  <c r="BT349" i="1"/>
  <c r="BS349" i="1"/>
  <c r="BR349" i="1"/>
  <c r="BQ349" i="1"/>
  <c r="BM349" i="1"/>
  <c r="BL349" i="1"/>
  <c r="BL351" i="1" s="1"/>
  <c r="BK349" i="1"/>
  <c r="BJ349" i="1"/>
  <c r="BI349" i="1"/>
  <c r="BE349" i="1"/>
  <c r="BD349" i="1"/>
  <c r="BC349" i="1"/>
  <c r="BB349" i="1"/>
  <c r="BA349" i="1"/>
  <c r="AU349" i="1"/>
  <c r="AT349" i="1"/>
  <c r="AS349" i="1"/>
  <c r="AR349" i="1"/>
  <c r="AN349" i="1"/>
  <c r="AM349" i="1"/>
  <c r="AL349" i="1"/>
  <c r="AK349" i="1"/>
  <c r="AJ349" i="1"/>
  <c r="AF349" i="1"/>
  <c r="AE349" i="1"/>
  <c r="AD349" i="1"/>
  <c r="AC349" i="1"/>
  <c r="U349" i="1"/>
  <c r="T349" i="1"/>
  <c r="S349" i="1"/>
  <c r="R349" i="1"/>
  <c r="N349" i="1"/>
  <c r="M349" i="1"/>
  <c r="L349" i="1"/>
  <c r="K349" i="1"/>
  <c r="G349" i="1"/>
  <c r="F349" i="1"/>
  <c r="E349" i="1"/>
  <c r="C349" i="1"/>
  <c r="CY347" i="1"/>
  <c r="CV347" i="1"/>
  <c r="CU347" i="1"/>
  <c r="CO347" i="1"/>
  <c r="CN347" i="1"/>
  <c r="CH347" i="1"/>
  <c r="CG347" i="1"/>
  <c r="BV347" i="1"/>
  <c r="BU347" i="1"/>
  <c r="BN347" i="1"/>
  <c r="BG347" i="1"/>
  <c r="BF347" i="1"/>
  <c r="AV347" i="1"/>
  <c r="AP347" i="1"/>
  <c r="AO347" i="1"/>
  <c r="AH347" i="1"/>
  <c r="AG347" i="1"/>
  <c r="P347" i="1"/>
  <c r="O347" i="1"/>
  <c r="I347" i="1"/>
  <c r="H347" i="1"/>
  <c r="CY346" i="1"/>
  <c r="CV346" i="1"/>
  <c r="CU346" i="1"/>
  <c r="CO346" i="1"/>
  <c r="CN346" i="1"/>
  <c r="CH346" i="1"/>
  <c r="CG346" i="1"/>
  <c r="BV346" i="1"/>
  <c r="BU346" i="1"/>
  <c r="BN346" i="1"/>
  <c r="BG346" i="1"/>
  <c r="BF346" i="1"/>
  <c r="AV346" i="1"/>
  <c r="AP346" i="1"/>
  <c r="AO346" i="1"/>
  <c r="AH346" i="1"/>
  <c r="AG346" i="1"/>
  <c r="P346" i="1"/>
  <c r="O346" i="1"/>
  <c r="I346" i="1"/>
  <c r="H346" i="1"/>
  <c r="CY345" i="1"/>
  <c r="CV345" i="1"/>
  <c r="CU345" i="1"/>
  <c r="CO345" i="1"/>
  <c r="CN345" i="1"/>
  <c r="CH345" i="1"/>
  <c r="CG345" i="1"/>
  <c r="BV345" i="1"/>
  <c r="BU345" i="1"/>
  <c r="BN345" i="1"/>
  <c r="BG345" i="1"/>
  <c r="BF345" i="1"/>
  <c r="AV345" i="1"/>
  <c r="AP345" i="1"/>
  <c r="AO345" i="1"/>
  <c r="AH345" i="1"/>
  <c r="AG345" i="1"/>
  <c r="P345" i="1"/>
  <c r="O345" i="1"/>
  <c r="I345" i="1"/>
  <c r="H345" i="1"/>
  <c r="CY344" i="1"/>
  <c r="CV344" i="1"/>
  <c r="CU344" i="1"/>
  <c r="CO344" i="1"/>
  <c r="CN344" i="1"/>
  <c r="CH344" i="1"/>
  <c r="CG344" i="1"/>
  <c r="BV344" i="1"/>
  <c r="BU344" i="1"/>
  <c r="BN344" i="1"/>
  <c r="BG344" i="1"/>
  <c r="BF344" i="1"/>
  <c r="AV344" i="1"/>
  <c r="AP344" i="1"/>
  <c r="AO344" i="1"/>
  <c r="AH344" i="1"/>
  <c r="AG344" i="1"/>
  <c r="P344" i="1"/>
  <c r="O344" i="1"/>
  <c r="I344" i="1"/>
  <c r="H344" i="1"/>
  <c r="CY343" i="1"/>
  <c r="CV343" i="1"/>
  <c r="CU343" i="1"/>
  <c r="CO343" i="1"/>
  <c r="CN343" i="1"/>
  <c r="CH343" i="1"/>
  <c r="CG343" i="1"/>
  <c r="BV343" i="1"/>
  <c r="BU343" i="1"/>
  <c r="BN343" i="1"/>
  <c r="BG343" i="1"/>
  <c r="BF343" i="1"/>
  <c r="AV343" i="1"/>
  <c r="AP343" i="1"/>
  <c r="AO343" i="1"/>
  <c r="AH343" i="1"/>
  <c r="AG343" i="1"/>
  <c r="P343" i="1"/>
  <c r="O343" i="1"/>
  <c r="I343" i="1"/>
  <c r="H343" i="1"/>
  <c r="CY342" i="1"/>
  <c r="CV342" i="1"/>
  <c r="CU342" i="1"/>
  <c r="CO342" i="1"/>
  <c r="CN342" i="1"/>
  <c r="CH342" i="1"/>
  <c r="CG342" i="1"/>
  <c r="BV342" i="1"/>
  <c r="BU342" i="1"/>
  <c r="BN342" i="1"/>
  <c r="BG342" i="1"/>
  <c r="BF342" i="1"/>
  <c r="AV342" i="1"/>
  <c r="AP342" i="1"/>
  <c r="AO342" i="1"/>
  <c r="AH342" i="1"/>
  <c r="AG342" i="1"/>
  <c r="P342" i="1"/>
  <c r="O342" i="1"/>
  <c r="I342" i="1"/>
  <c r="H342" i="1"/>
  <c r="CY341" i="1"/>
  <c r="CV341" i="1"/>
  <c r="CU341" i="1"/>
  <c r="CO341" i="1"/>
  <c r="CN341" i="1"/>
  <c r="CH341" i="1"/>
  <c r="CG341" i="1"/>
  <c r="BV341" i="1"/>
  <c r="BU341" i="1"/>
  <c r="BN341" i="1"/>
  <c r="BG341" i="1"/>
  <c r="BF341" i="1"/>
  <c r="AV341" i="1"/>
  <c r="AP341" i="1"/>
  <c r="AO341" i="1"/>
  <c r="AH341" i="1"/>
  <c r="AG341" i="1"/>
  <c r="P341" i="1"/>
  <c r="O341" i="1"/>
  <c r="I341" i="1"/>
  <c r="H341" i="1"/>
  <c r="CY340" i="1"/>
  <c r="CV340" i="1"/>
  <c r="CU340" i="1"/>
  <c r="CO340" i="1"/>
  <c r="CN340" i="1"/>
  <c r="CH340" i="1"/>
  <c r="CG340" i="1"/>
  <c r="BV340" i="1"/>
  <c r="BU340" i="1"/>
  <c r="BN340" i="1"/>
  <c r="BG340" i="1"/>
  <c r="BF340" i="1"/>
  <c r="AV340" i="1"/>
  <c r="AP340" i="1"/>
  <c r="AO340" i="1"/>
  <c r="AH340" i="1"/>
  <c r="AG340" i="1"/>
  <c r="P340" i="1"/>
  <c r="O340" i="1"/>
  <c r="I340" i="1"/>
  <c r="H340" i="1"/>
  <c r="CY339" i="1"/>
  <c r="CV339" i="1"/>
  <c r="CU339" i="1"/>
  <c r="CO339" i="1"/>
  <c r="CN339" i="1"/>
  <c r="CH339" i="1"/>
  <c r="CG339" i="1"/>
  <c r="BV339" i="1"/>
  <c r="BU339" i="1"/>
  <c r="BN339" i="1"/>
  <c r="BG339" i="1"/>
  <c r="BF339" i="1"/>
  <c r="AV339" i="1"/>
  <c r="AP339" i="1"/>
  <c r="AO339" i="1"/>
  <c r="AH339" i="1"/>
  <c r="AG339" i="1"/>
  <c r="P339" i="1"/>
  <c r="O339" i="1"/>
  <c r="I339" i="1"/>
  <c r="H339" i="1"/>
  <c r="CY338" i="1"/>
  <c r="CV338" i="1"/>
  <c r="CU338" i="1"/>
  <c r="CO338" i="1"/>
  <c r="CN338" i="1"/>
  <c r="CH338" i="1"/>
  <c r="CG338" i="1"/>
  <c r="BV338" i="1"/>
  <c r="BU338" i="1"/>
  <c r="BN338" i="1"/>
  <c r="BG338" i="1"/>
  <c r="BF338" i="1"/>
  <c r="AV338" i="1"/>
  <c r="AP338" i="1"/>
  <c r="AO338" i="1"/>
  <c r="AH338" i="1"/>
  <c r="AG338" i="1"/>
  <c r="P338" i="1"/>
  <c r="O338" i="1"/>
  <c r="I338" i="1"/>
  <c r="H338" i="1"/>
  <c r="CY337" i="1"/>
  <c r="CV337" i="1"/>
  <c r="CU337" i="1"/>
  <c r="CO337" i="1"/>
  <c r="CN337" i="1"/>
  <c r="CH337" i="1"/>
  <c r="CG337" i="1"/>
  <c r="BV337" i="1"/>
  <c r="BU337" i="1"/>
  <c r="BN337" i="1"/>
  <c r="BG337" i="1"/>
  <c r="BF337" i="1"/>
  <c r="AV337" i="1"/>
  <c r="AP337" i="1"/>
  <c r="AO337" i="1"/>
  <c r="AH337" i="1"/>
  <c r="AG337" i="1"/>
  <c r="P337" i="1"/>
  <c r="O337" i="1"/>
  <c r="I337" i="1"/>
  <c r="H337" i="1"/>
  <c r="CY336" i="1"/>
  <c r="CV336" i="1"/>
  <c r="CU336" i="1"/>
  <c r="CO336" i="1"/>
  <c r="CN336" i="1"/>
  <c r="CH336" i="1"/>
  <c r="CG336" i="1"/>
  <c r="BV336" i="1"/>
  <c r="BU336" i="1"/>
  <c r="BN336" i="1"/>
  <c r="BG336" i="1"/>
  <c r="BF336" i="1"/>
  <c r="AV336" i="1"/>
  <c r="AP336" i="1"/>
  <c r="AO336" i="1"/>
  <c r="AH336" i="1"/>
  <c r="AG336" i="1"/>
  <c r="P336" i="1"/>
  <c r="O336" i="1"/>
  <c r="I336" i="1"/>
  <c r="H336" i="1"/>
  <c r="CY335" i="1"/>
  <c r="CV335" i="1"/>
  <c r="CU335" i="1"/>
  <c r="CO335" i="1"/>
  <c r="CN335" i="1"/>
  <c r="CH335" i="1"/>
  <c r="CG335" i="1"/>
  <c r="BV335" i="1"/>
  <c r="BU335" i="1"/>
  <c r="BN335" i="1"/>
  <c r="BG335" i="1"/>
  <c r="BF335" i="1"/>
  <c r="AV335" i="1"/>
  <c r="AP335" i="1"/>
  <c r="AO335" i="1"/>
  <c r="AH335" i="1"/>
  <c r="AG335" i="1"/>
  <c r="P335" i="1"/>
  <c r="O335" i="1"/>
  <c r="I335" i="1"/>
  <c r="H335" i="1"/>
  <c r="CY334" i="1"/>
  <c r="CV334" i="1"/>
  <c r="CU334" i="1"/>
  <c r="CO334" i="1"/>
  <c r="CN334" i="1"/>
  <c r="CH334" i="1"/>
  <c r="CG334" i="1"/>
  <c r="BV334" i="1"/>
  <c r="BU334" i="1"/>
  <c r="BN334" i="1"/>
  <c r="BG334" i="1"/>
  <c r="BF334" i="1"/>
  <c r="AV334" i="1"/>
  <c r="AP334" i="1"/>
  <c r="AO334" i="1"/>
  <c r="AH334" i="1"/>
  <c r="AG334" i="1"/>
  <c r="P334" i="1"/>
  <c r="O334" i="1"/>
  <c r="I334" i="1"/>
  <c r="H334" i="1"/>
  <c r="CY333" i="1"/>
  <c r="CV333" i="1"/>
  <c r="CU333" i="1"/>
  <c r="CO333" i="1"/>
  <c r="CN333" i="1"/>
  <c r="CH333" i="1"/>
  <c r="CG333" i="1"/>
  <c r="BV333" i="1"/>
  <c r="BU333" i="1"/>
  <c r="BN333" i="1"/>
  <c r="BG333" i="1"/>
  <c r="BF333" i="1"/>
  <c r="AV333" i="1"/>
  <c r="AP333" i="1"/>
  <c r="AO333" i="1"/>
  <c r="AH333" i="1"/>
  <c r="AG333" i="1"/>
  <c r="P333" i="1"/>
  <c r="O333" i="1"/>
  <c r="I333" i="1"/>
  <c r="H333" i="1"/>
  <c r="CY332" i="1"/>
  <c r="CV332" i="1"/>
  <c r="CU332" i="1"/>
  <c r="CO332" i="1"/>
  <c r="CN332" i="1"/>
  <c r="CH332" i="1"/>
  <c r="CG332" i="1"/>
  <c r="BV332" i="1"/>
  <c r="BU332" i="1"/>
  <c r="BN332" i="1"/>
  <c r="BG332" i="1"/>
  <c r="BF332" i="1"/>
  <c r="AV332" i="1"/>
  <c r="AP332" i="1"/>
  <c r="AO332" i="1"/>
  <c r="AH332" i="1"/>
  <c r="AG332" i="1"/>
  <c r="P332" i="1"/>
  <c r="O332" i="1"/>
  <c r="I332" i="1"/>
  <c r="H332" i="1"/>
  <c r="CY331" i="1"/>
  <c r="CV331" i="1"/>
  <c r="CU331" i="1"/>
  <c r="CO331" i="1"/>
  <c r="CN331" i="1"/>
  <c r="CH331" i="1"/>
  <c r="CG331" i="1"/>
  <c r="BV331" i="1"/>
  <c r="BU331" i="1"/>
  <c r="BN331" i="1"/>
  <c r="BG331" i="1"/>
  <c r="BF331" i="1"/>
  <c r="AV331" i="1"/>
  <c r="AP331" i="1"/>
  <c r="AO331" i="1"/>
  <c r="AH331" i="1"/>
  <c r="AG331" i="1"/>
  <c r="P331" i="1"/>
  <c r="O331" i="1"/>
  <c r="I331" i="1"/>
  <c r="H331" i="1"/>
  <c r="CY330" i="1"/>
  <c r="CV330" i="1"/>
  <c r="CU330" i="1"/>
  <c r="CO330" i="1"/>
  <c r="CN330" i="1"/>
  <c r="CH330" i="1"/>
  <c r="CG330" i="1"/>
  <c r="BV330" i="1"/>
  <c r="BU330" i="1"/>
  <c r="BN330" i="1"/>
  <c r="BG330" i="1"/>
  <c r="BF330" i="1"/>
  <c r="AV330" i="1"/>
  <c r="AP330" i="1"/>
  <c r="AO330" i="1"/>
  <c r="AH330" i="1"/>
  <c r="AG330" i="1"/>
  <c r="P330" i="1"/>
  <c r="O330" i="1"/>
  <c r="I330" i="1"/>
  <c r="H330" i="1"/>
  <c r="CY329" i="1"/>
  <c r="CV329" i="1"/>
  <c r="CU329" i="1"/>
  <c r="CO329" i="1"/>
  <c r="CN329" i="1"/>
  <c r="CH329" i="1"/>
  <c r="CG329" i="1"/>
  <c r="BV329" i="1"/>
  <c r="BU329" i="1"/>
  <c r="BN329" i="1"/>
  <c r="BG329" i="1"/>
  <c r="BF329" i="1"/>
  <c r="AV329" i="1"/>
  <c r="AP329" i="1"/>
  <c r="AO329" i="1"/>
  <c r="AH329" i="1"/>
  <c r="AG329" i="1"/>
  <c r="P329" i="1"/>
  <c r="O329" i="1"/>
  <c r="I329" i="1"/>
  <c r="H329" i="1"/>
  <c r="CY328" i="1"/>
  <c r="CV328" i="1"/>
  <c r="CU328" i="1"/>
  <c r="CO328" i="1"/>
  <c r="CN328" i="1"/>
  <c r="CH328" i="1"/>
  <c r="CG328" i="1"/>
  <c r="BV328" i="1"/>
  <c r="BU328" i="1"/>
  <c r="BN328" i="1"/>
  <c r="BG328" i="1"/>
  <c r="BF328" i="1"/>
  <c r="AV328" i="1"/>
  <c r="AP328" i="1"/>
  <c r="AO328" i="1"/>
  <c r="AH328" i="1"/>
  <c r="AG328" i="1"/>
  <c r="P328" i="1"/>
  <c r="O328" i="1"/>
  <c r="I328" i="1"/>
  <c r="H328" i="1"/>
  <c r="CY327" i="1"/>
  <c r="CV327" i="1"/>
  <c r="CU327" i="1"/>
  <c r="CO327" i="1"/>
  <c r="CN327" i="1"/>
  <c r="CH327" i="1"/>
  <c r="CG327" i="1"/>
  <c r="BV327" i="1"/>
  <c r="BU327" i="1"/>
  <c r="BN327" i="1"/>
  <c r="BG327" i="1"/>
  <c r="BF327" i="1"/>
  <c r="AV327" i="1"/>
  <c r="AP327" i="1"/>
  <c r="AO327" i="1"/>
  <c r="AH327" i="1"/>
  <c r="AG327" i="1"/>
  <c r="P327" i="1"/>
  <c r="O327" i="1"/>
  <c r="I327" i="1"/>
  <c r="H327" i="1"/>
  <c r="CY326" i="1"/>
  <c r="CV326" i="1"/>
  <c r="CU326" i="1"/>
  <c r="CO326" i="1"/>
  <c r="CN326" i="1"/>
  <c r="CH326" i="1"/>
  <c r="CG326" i="1"/>
  <c r="BV326" i="1"/>
  <c r="BU326" i="1"/>
  <c r="BN326" i="1"/>
  <c r="BG326" i="1"/>
  <c r="BF326" i="1"/>
  <c r="AV326" i="1"/>
  <c r="AP326" i="1"/>
  <c r="AO326" i="1"/>
  <c r="AH326" i="1"/>
  <c r="AG326" i="1"/>
  <c r="P326" i="1"/>
  <c r="O326" i="1"/>
  <c r="I326" i="1"/>
  <c r="H326" i="1"/>
  <c r="CY325" i="1"/>
  <c r="CV325" i="1"/>
  <c r="CU325" i="1"/>
  <c r="CO325" i="1"/>
  <c r="CN325" i="1"/>
  <c r="CH325" i="1"/>
  <c r="CG325" i="1"/>
  <c r="BV325" i="1"/>
  <c r="BU325" i="1"/>
  <c r="BN325" i="1"/>
  <c r="BG325" i="1"/>
  <c r="BF325" i="1"/>
  <c r="AV325" i="1"/>
  <c r="AP325" i="1"/>
  <c r="AO325" i="1"/>
  <c r="AH325" i="1"/>
  <c r="AG325" i="1"/>
  <c r="P325" i="1"/>
  <c r="O325" i="1"/>
  <c r="I325" i="1"/>
  <c r="H325" i="1"/>
  <c r="CY324" i="1"/>
  <c r="CV324" i="1"/>
  <c r="CU324" i="1"/>
  <c r="CO324" i="1"/>
  <c r="CN324" i="1"/>
  <c r="CH324" i="1"/>
  <c r="CG324" i="1"/>
  <c r="BV324" i="1"/>
  <c r="BU324" i="1"/>
  <c r="BN324" i="1"/>
  <c r="BG324" i="1"/>
  <c r="BF324" i="1"/>
  <c r="AV324" i="1"/>
  <c r="AP324" i="1"/>
  <c r="AO324" i="1"/>
  <c r="AH324" i="1"/>
  <c r="AG324" i="1"/>
  <c r="P324" i="1"/>
  <c r="O324" i="1"/>
  <c r="I324" i="1"/>
  <c r="H324" i="1"/>
  <c r="CY323" i="1"/>
  <c r="CV323" i="1"/>
  <c r="CU323" i="1"/>
  <c r="CO323" i="1"/>
  <c r="CN323" i="1"/>
  <c r="CH323" i="1"/>
  <c r="CG323" i="1"/>
  <c r="BV323" i="1"/>
  <c r="BU323" i="1"/>
  <c r="BN323" i="1"/>
  <c r="BG323" i="1"/>
  <c r="BF323" i="1"/>
  <c r="AV323" i="1"/>
  <c r="AP323" i="1"/>
  <c r="AO323" i="1"/>
  <c r="AH323" i="1"/>
  <c r="AG323" i="1"/>
  <c r="P323" i="1"/>
  <c r="O323" i="1"/>
  <c r="I323" i="1"/>
  <c r="H323" i="1"/>
  <c r="CY322" i="1"/>
  <c r="CV322" i="1"/>
  <c r="CU322" i="1"/>
  <c r="CO322" i="1"/>
  <c r="CN322" i="1"/>
  <c r="CH322" i="1"/>
  <c r="CG322" i="1"/>
  <c r="BV322" i="1"/>
  <c r="BU322" i="1"/>
  <c r="BN322" i="1"/>
  <c r="BG322" i="1"/>
  <c r="BF322" i="1"/>
  <c r="AV322" i="1"/>
  <c r="AP322" i="1"/>
  <c r="AO322" i="1"/>
  <c r="AH322" i="1"/>
  <c r="AG322" i="1"/>
  <c r="P322" i="1"/>
  <c r="O322" i="1"/>
  <c r="I322" i="1"/>
  <c r="H322" i="1"/>
  <c r="CY321" i="1"/>
  <c r="CV321" i="1"/>
  <c r="CU321" i="1"/>
  <c r="CO321" i="1"/>
  <c r="CN321" i="1"/>
  <c r="CH321" i="1"/>
  <c r="CG321" i="1"/>
  <c r="BV321" i="1"/>
  <c r="BU321" i="1"/>
  <c r="BN321" i="1"/>
  <c r="BG321" i="1"/>
  <c r="BF321" i="1"/>
  <c r="AV321" i="1"/>
  <c r="AP321" i="1"/>
  <c r="AO321" i="1"/>
  <c r="AH321" i="1"/>
  <c r="AG321" i="1"/>
  <c r="P321" i="1"/>
  <c r="O321" i="1"/>
  <c r="I321" i="1"/>
  <c r="H321" i="1"/>
  <c r="CY320" i="1"/>
  <c r="CV320" i="1"/>
  <c r="CU320" i="1"/>
  <c r="CO320" i="1"/>
  <c r="CN320" i="1"/>
  <c r="CH320" i="1"/>
  <c r="CG320" i="1"/>
  <c r="BV320" i="1"/>
  <c r="BU320" i="1"/>
  <c r="BN320" i="1"/>
  <c r="BG320" i="1"/>
  <c r="BF320" i="1"/>
  <c r="AV320" i="1"/>
  <c r="AP320" i="1"/>
  <c r="AO320" i="1"/>
  <c r="AH320" i="1"/>
  <c r="AG320" i="1"/>
  <c r="P320" i="1"/>
  <c r="O320" i="1"/>
  <c r="I320" i="1"/>
  <c r="H320" i="1"/>
  <c r="CY319" i="1"/>
  <c r="CV319" i="1"/>
  <c r="CU319" i="1"/>
  <c r="CO319" i="1"/>
  <c r="CN319" i="1"/>
  <c r="CH319" i="1"/>
  <c r="CG319" i="1"/>
  <c r="BV319" i="1"/>
  <c r="BU319" i="1"/>
  <c r="BN319" i="1"/>
  <c r="BG319" i="1"/>
  <c r="BF319" i="1"/>
  <c r="AV319" i="1"/>
  <c r="AP319" i="1"/>
  <c r="AO319" i="1"/>
  <c r="AH319" i="1"/>
  <c r="AG319" i="1"/>
  <c r="P319" i="1"/>
  <c r="O319" i="1"/>
  <c r="I319" i="1"/>
  <c r="H319" i="1"/>
  <c r="CY318" i="1"/>
  <c r="CV318" i="1"/>
  <c r="CU318" i="1"/>
  <c r="CO318" i="1"/>
  <c r="CN318" i="1"/>
  <c r="CH318" i="1"/>
  <c r="CG318" i="1"/>
  <c r="BV318" i="1"/>
  <c r="BU318" i="1"/>
  <c r="BN318" i="1"/>
  <c r="BG318" i="1"/>
  <c r="BF318" i="1"/>
  <c r="AV318" i="1"/>
  <c r="AP318" i="1"/>
  <c r="AO318" i="1"/>
  <c r="AH318" i="1"/>
  <c r="AG318" i="1"/>
  <c r="P318" i="1"/>
  <c r="O318" i="1"/>
  <c r="I318" i="1"/>
  <c r="H318" i="1"/>
  <c r="CY317" i="1"/>
  <c r="CV317" i="1"/>
  <c r="CU317" i="1"/>
  <c r="CO317" i="1"/>
  <c r="CN317" i="1"/>
  <c r="CH317" i="1"/>
  <c r="CG317" i="1"/>
  <c r="BV317" i="1"/>
  <c r="BU317" i="1"/>
  <c r="BN317" i="1"/>
  <c r="BG317" i="1"/>
  <c r="BF317" i="1"/>
  <c r="AV317" i="1"/>
  <c r="AP317" i="1"/>
  <c r="AO317" i="1"/>
  <c r="AH317" i="1"/>
  <c r="AG317" i="1"/>
  <c r="P317" i="1"/>
  <c r="O317" i="1"/>
  <c r="I317" i="1"/>
  <c r="H317" i="1"/>
  <c r="CY316" i="1"/>
  <c r="CV316" i="1"/>
  <c r="CU316" i="1"/>
  <c r="CO316" i="1"/>
  <c r="CN316" i="1"/>
  <c r="CH316" i="1"/>
  <c r="CG316" i="1"/>
  <c r="BV316" i="1"/>
  <c r="BU316" i="1"/>
  <c r="BN316" i="1"/>
  <c r="BG316" i="1"/>
  <c r="BF316" i="1"/>
  <c r="AV316" i="1"/>
  <c r="AP316" i="1"/>
  <c r="AO316" i="1"/>
  <c r="AH316" i="1"/>
  <c r="AG316" i="1"/>
  <c r="P316" i="1"/>
  <c r="O316" i="1"/>
  <c r="I316" i="1"/>
  <c r="H316" i="1"/>
  <c r="CY315" i="1"/>
  <c r="CV315" i="1"/>
  <c r="CU315" i="1"/>
  <c r="CO315" i="1"/>
  <c r="CN315" i="1"/>
  <c r="CH315" i="1"/>
  <c r="CG315" i="1"/>
  <c r="BV315" i="1"/>
  <c r="BU315" i="1"/>
  <c r="BN315" i="1"/>
  <c r="BG315" i="1"/>
  <c r="BF315" i="1"/>
  <c r="AV315" i="1"/>
  <c r="AP315" i="1"/>
  <c r="AO315" i="1"/>
  <c r="AH315" i="1"/>
  <c r="AG315" i="1"/>
  <c r="P315" i="1"/>
  <c r="O315" i="1"/>
  <c r="I315" i="1"/>
  <c r="H315" i="1"/>
  <c r="CY314" i="1"/>
  <c r="CV314" i="1"/>
  <c r="CU314" i="1"/>
  <c r="CO314" i="1"/>
  <c r="CN314" i="1"/>
  <c r="CH314" i="1"/>
  <c r="CG314" i="1"/>
  <c r="BV314" i="1"/>
  <c r="BU314" i="1"/>
  <c r="BN314" i="1"/>
  <c r="BG314" i="1"/>
  <c r="BF314" i="1"/>
  <c r="AV314" i="1"/>
  <c r="AP314" i="1"/>
  <c r="AO314" i="1"/>
  <c r="AH314" i="1"/>
  <c r="AG314" i="1"/>
  <c r="P314" i="1"/>
  <c r="O314" i="1"/>
  <c r="I314" i="1"/>
  <c r="H314" i="1"/>
  <c r="CY313" i="1"/>
  <c r="CV313" i="1"/>
  <c r="CU313" i="1"/>
  <c r="CO313" i="1"/>
  <c r="CN313" i="1"/>
  <c r="CH313" i="1"/>
  <c r="CG313" i="1"/>
  <c r="BV313" i="1"/>
  <c r="BU313" i="1"/>
  <c r="BN313" i="1"/>
  <c r="BG313" i="1"/>
  <c r="BF313" i="1"/>
  <c r="AV313" i="1"/>
  <c r="AP313" i="1"/>
  <c r="AO313" i="1"/>
  <c r="AH313" i="1"/>
  <c r="AG313" i="1"/>
  <c r="P313" i="1"/>
  <c r="O313" i="1"/>
  <c r="I313" i="1"/>
  <c r="H313" i="1"/>
  <c r="CY312" i="1"/>
  <c r="CV312" i="1"/>
  <c r="CU312" i="1"/>
  <c r="CO312" i="1"/>
  <c r="CN312" i="1"/>
  <c r="CH312" i="1"/>
  <c r="CG312" i="1"/>
  <c r="BV312" i="1"/>
  <c r="BU312" i="1"/>
  <c r="BN312" i="1"/>
  <c r="BG312" i="1"/>
  <c r="BF312" i="1"/>
  <c r="AV312" i="1"/>
  <c r="AP312" i="1"/>
  <c r="AO312" i="1"/>
  <c r="AH312" i="1"/>
  <c r="AG312" i="1"/>
  <c r="P312" i="1"/>
  <c r="O312" i="1"/>
  <c r="I312" i="1"/>
  <c r="H312" i="1"/>
  <c r="CY311" i="1"/>
  <c r="CV311" i="1"/>
  <c r="CU311" i="1"/>
  <c r="CO311" i="1"/>
  <c r="CN311" i="1"/>
  <c r="CH311" i="1"/>
  <c r="CG311" i="1"/>
  <c r="BV311" i="1"/>
  <c r="BU311" i="1"/>
  <c r="BN311" i="1"/>
  <c r="BG311" i="1"/>
  <c r="BF311" i="1"/>
  <c r="AV311" i="1"/>
  <c r="AP311" i="1"/>
  <c r="AO311" i="1"/>
  <c r="AH311" i="1"/>
  <c r="AG311" i="1"/>
  <c r="P311" i="1"/>
  <c r="O311" i="1"/>
  <c r="I311" i="1"/>
  <c r="H311" i="1"/>
  <c r="CY310" i="1"/>
  <c r="CV310" i="1"/>
  <c r="CU310" i="1"/>
  <c r="CO310" i="1"/>
  <c r="CN310" i="1"/>
  <c r="CH310" i="1"/>
  <c r="CG310" i="1"/>
  <c r="BV310" i="1"/>
  <c r="BU310" i="1"/>
  <c r="BN310" i="1"/>
  <c r="BG310" i="1"/>
  <c r="BF310" i="1"/>
  <c r="AV310" i="1"/>
  <c r="AP310" i="1"/>
  <c r="AO310" i="1"/>
  <c r="AH310" i="1"/>
  <c r="AG310" i="1"/>
  <c r="P310" i="1"/>
  <c r="O310" i="1"/>
  <c r="I310" i="1"/>
  <c r="H310" i="1"/>
  <c r="CY309" i="1"/>
  <c r="CV309" i="1"/>
  <c r="CU309" i="1"/>
  <c r="CO309" i="1"/>
  <c r="CN309" i="1"/>
  <c r="CH309" i="1"/>
  <c r="CG309" i="1"/>
  <c r="BV309" i="1"/>
  <c r="BU309" i="1"/>
  <c r="BN309" i="1"/>
  <c r="BG309" i="1"/>
  <c r="BF309" i="1"/>
  <c r="AV309" i="1"/>
  <c r="AP309" i="1"/>
  <c r="AO309" i="1"/>
  <c r="AH309" i="1"/>
  <c r="AG309" i="1"/>
  <c r="P309" i="1"/>
  <c r="O309" i="1"/>
  <c r="I309" i="1"/>
  <c r="H309" i="1"/>
  <c r="CY308" i="1"/>
  <c r="CV308" i="1"/>
  <c r="CU308" i="1"/>
  <c r="CO308" i="1"/>
  <c r="CN308" i="1"/>
  <c r="CH308" i="1"/>
  <c r="CG308" i="1"/>
  <c r="BV308" i="1"/>
  <c r="BU308" i="1"/>
  <c r="BN308" i="1"/>
  <c r="BG308" i="1"/>
  <c r="BF308" i="1"/>
  <c r="AV308" i="1"/>
  <c r="AP308" i="1"/>
  <c r="AO308" i="1"/>
  <c r="AH308" i="1"/>
  <c r="AG308" i="1"/>
  <c r="P308" i="1"/>
  <c r="O308" i="1"/>
  <c r="I308" i="1"/>
  <c r="H308" i="1"/>
  <c r="CY307" i="1"/>
  <c r="CV307" i="1"/>
  <c r="CU307" i="1"/>
  <c r="CO307" i="1"/>
  <c r="CN307" i="1"/>
  <c r="CH307" i="1"/>
  <c r="CG307" i="1"/>
  <c r="BV307" i="1"/>
  <c r="BU307" i="1"/>
  <c r="BN307" i="1"/>
  <c r="BG307" i="1"/>
  <c r="BF307" i="1"/>
  <c r="AV307" i="1"/>
  <c r="AP307" i="1"/>
  <c r="AO307" i="1"/>
  <c r="AH307" i="1"/>
  <c r="AG307" i="1"/>
  <c r="P307" i="1"/>
  <c r="O307" i="1"/>
  <c r="I307" i="1"/>
  <c r="H307" i="1"/>
  <c r="CY306" i="1"/>
  <c r="CV306" i="1"/>
  <c r="CU306" i="1"/>
  <c r="CO306" i="1"/>
  <c r="CN306" i="1"/>
  <c r="CH306" i="1"/>
  <c r="CG306" i="1"/>
  <c r="BV306" i="1"/>
  <c r="BU306" i="1"/>
  <c r="BN306" i="1"/>
  <c r="BG306" i="1"/>
  <c r="BF306" i="1"/>
  <c r="AV306" i="1"/>
  <c r="AP306" i="1"/>
  <c r="AO306" i="1"/>
  <c r="AH306" i="1"/>
  <c r="AG306" i="1"/>
  <c r="P306" i="1"/>
  <c r="O306" i="1"/>
  <c r="I306" i="1"/>
  <c r="H306" i="1"/>
  <c r="CY305" i="1"/>
  <c r="CV305" i="1"/>
  <c r="CU305" i="1"/>
  <c r="CO305" i="1"/>
  <c r="CN305" i="1"/>
  <c r="CH305" i="1"/>
  <c r="CG305" i="1"/>
  <c r="BV305" i="1"/>
  <c r="BU305" i="1"/>
  <c r="BN305" i="1"/>
  <c r="BG305" i="1"/>
  <c r="BF305" i="1"/>
  <c r="AV305" i="1"/>
  <c r="AP305" i="1"/>
  <c r="AO305" i="1"/>
  <c r="AH305" i="1"/>
  <c r="AG305" i="1"/>
  <c r="P305" i="1"/>
  <c r="O305" i="1"/>
  <c r="I305" i="1"/>
  <c r="H305" i="1"/>
  <c r="CY304" i="1"/>
  <c r="CV304" i="1"/>
  <c r="CU304" i="1"/>
  <c r="CO304" i="1"/>
  <c r="CN304" i="1"/>
  <c r="CH304" i="1"/>
  <c r="CG304" i="1"/>
  <c r="BV304" i="1"/>
  <c r="BU304" i="1"/>
  <c r="BN304" i="1"/>
  <c r="BG304" i="1"/>
  <c r="BF304" i="1"/>
  <c r="AV304" i="1"/>
  <c r="AP304" i="1"/>
  <c r="AO304" i="1"/>
  <c r="AH304" i="1"/>
  <c r="AG304" i="1"/>
  <c r="P304" i="1"/>
  <c r="O304" i="1"/>
  <c r="I304" i="1"/>
  <c r="H304" i="1"/>
  <c r="CY303" i="1"/>
  <c r="CV303" i="1"/>
  <c r="CU303" i="1"/>
  <c r="CO303" i="1"/>
  <c r="CN303" i="1"/>
  <c r="CH303" i="1"/>
  <c r="CG303" i="1"/>
  <c r="BV303" i="1"/>
  <c r="BU303" i="1"/>
  <c r="BN303" i="1"/>
  <c r="BG303" i="1"/>
  <c r="BF303" i="1"/>
  <c r="AV303" i="1"/>
  <c r="AP303" i="1"/>
  <c r="AO303" i="1"/>
  <c r="AH303" i="1"/>
  <c r="AG303" i="1"/>
  <c r="P303" i="1"/>
  <c r="O303" i="1"/>
  <c r="I303" i="1"/>
  <c r="H303" i="1"/>
  <c r="CY302" i="1"/>
  <c r="CV302" i="1"/>
  <c r="CU302" i="1"/>
  <c r="CO302" i="1"/>
  <c r="CN302" i="1"/>
  <c r="CH302" i="1"/>
  <c r="CG302" i="1"/>
  <c r="BV302" i="1"/>
  <c r="BU302" i="1"/>
  <c r="BN302" i="1"/>
  <c r="BG302" i="1"/>
  <c r="BF302" i="1"/>
  <c r="AV302" i="1"/>
  <c r="AP302" i="1"/>
  <c r="AO302" i="1"/>
  <c r="AH302" i="1"/>
  <c r="AG302" i="1"/>
  <c r="P302" i="1"/>
  <c r="O302" i="1"/>
  <c r="I302" i="1"/>
  <c r="H302" i="1"/>
  <c r="CY301" i="1"/>
  <c r="CV301" i="1"/>
  <c r="CU301" i="1"/>
  <c r="CO301" i="1"/>
  <c r="CN301" i="1"/>
  <c r="CH301" i="1"/>
  <c r="CG301" i="1"/>
  <c r="BV301" i="1"/>
  <c r="BU301" i="1"/>
  <c r="BN301" i="1"/>
  <c r="BG301" i="1"/>
  <c r="BF301" i="1"/>
  <c r="AV301" i="1"/>
  <c r="AP301" i="1"/>
  <c r="AO301" i="1"/>
  <c r="AH301" i="1"/>
  <c r="AG301" i="1"/>
  <c r="P301" i="1"/>
  <c r="O301" i="1"/>
  <c r="I301" i="1"/>
  <c r="H301" i="1"/>
  <c r="CY300" i="1"/>
  <c r="CV300" i="1"/>
  <c r="CU300" i="1"/>
  <c r="CO300" i="1"/>
  <c r="CN300" i="1"/>
  <c r="CH300" i="1"/>
  <c r="CG300" i="1"/>
  <c r="BV300" i="1"/>
  <c r="BU300" i="1"/>
  <c r="BN300" i="1"/>
  <c r="BG300" i="1"/>
  <c r="BF300" i="1"/>
  <c r="AV300" i="1"/>
  <c r="AP300" i="1"/>
  <c r="AO300" i="1"/>
  <c r="AH300" i="1"/>
  <c r="AG300" i="1"/>
  <c r="P300" i="1"/>
  <c r="O300" i="1"/>
  <c r="I300" i="1"/>
  <c r="H300" i="1"/>
  <c r="CY299" i="1"/>
  <c r="CV299" i="1"/>
  <c r="CU299" i="1"/>
  <c r="CO299" i="1"/>
  <c r="CN299" i="1"/>
  <c r="CH299" i="1"/>
  <c r="CG299" i="1"/>
  <c r="BV299" i="1"/>
  <c r="BU299" i="1"/>
  <c r="BN299" i="1"/>
  <c r="BG299" i="1"/>
  <c r="BF299" i="1"/>
  <c r="AV299" i="1"/>
  <c r="AP299" i="1"/>
  <c r="AO299" i="1"/>
  <c r="AH299" i="1"/>
  <c r="AG299" i="1"/>
  <c r="P299" i="1"/>
  <c r="O299" i="1"/>
  <c r="I299" i="1"/>
  <c r="H299" i="1"/>
  <c r="CY298" i="1"/>
  <c r="CV298" i="1"/>
  <c r="CU298" i="1"/>
  <c r="CO298" i="1"/>
  <c r="CN298" i="1"/>
  <c r="CH298" i="1"/>
  <c r="CG298" i="1"/>
  <c r="BV298" i="1"/>
  <c r="BU298" i="1"/>
  <c r="BN298" i="1"/>
  <c r="BG298" i="1"/>
  <c r="BF298" i="1"/>
  <c r="AV298" i="1"/>
  <c r="AP298" i="1"/>
  <c r="AO298" i="1"/>
  <c r="AH298" i="1"/>
  <c r="AG298" i="1"/>
  <c r="P298" i="1"/>
  <c r="O298" i="1"/>
  <c r="I298" i="1"/>
  <c r="H298" i="1"/>
  <c r="CY297" i="1"/>
  <c r="CV297" i="1"/>
  <c r="CU297" i="1"/>
  <c r="CO297" i="1"/>
  <c r="CN297" i="1"/>
  <c r="CH297" i="1"/>
  <c r="CG297" i="1"/>
  <c r="BV297" i="1"/>
  <c r="BU297" i="1"/>
  <c r="BN297" i="1"/>
  <c r="BG297" i="1"/>
  <c r="BF297" i="1"/>
  <c r="AV297" i="1"/>
  <c r="AP297" i="1"/>
  <c r="AO297" i="1"/>
  <c r="AH297" i="1"/>
  <c r="AG297" i="1"/>
  <c r="P297" i="1"/>
  <c r="O297" i="1"/>
  <c r="I297" i="1"/>
  <c r="H297" i="1"/>
  <c r="CY296" i="1"/>
  <c r="CV296" i="1"/>
  <c r="CU296" i="1"/>
  <c r="CO296" i="1"/>
  <c r="CN296" i="1"/>
  <c r="CH296" i="1"/>
  <c r="CG296" i="1"/>
  <c r="BV296" i="1"/>
  <c r="BU296" i="1"/>
  <c r="BN296" i="1"/>
  <c r="BG296" i="1"/>
  <c r="BF296" i="1"/>
  <c r="AV296" i="1"/>
  <c r="AP296" i="1"/>
  <c r="AO296" i="1"/>
  <c r="AH296" i="1"/>
  <c r="AG296" i="1"/>
  <c r="P296" i="1"/>
  <c r="O296" i="1"/>
  <c r="I296" i="1"/>
  <c r="H296" i="1"/>
  <c r="CY295" i="1"/>
  <c r="CV295" i="1"/>
  <c r="CU295" i="1"/>
  <c r="CO295" i="1"/>
  <c r="CN295" i="1"/>
  <c r="CH295" i="1"/>
  <c r="CG295" i="1"/>
  <c r="BV295" i="1"/>
  <c r="BU295" i="1"/>
  <c r="BN295" i="1"/>
  <c r="BG295" i="1"/>
  <c r="BF295" i="1"/>
  <c r="AV295" i="1"/>
  <c r="AP295" i="1"/>
  <c r="AO295" i="1"/>
  <c r="AH295" i="1"/>
  <c r="AG295" i="1"/>
  <c r="P295" i="1"/>
  <c r="O295" i="1"/>
  <c r="I295" i="1"/>
  <c r="H295" i="1"/>
  <c r="CY294" i="1"/>
  <c r="CV294" i="1"/>
  <c r="CU294" i="1"/>
  <c r="CO294" i="1"/>
  <c r="CN294" i="1"/>
  <c r="CH294" i="1"/>
  <c r="CG294" i="1"/>
  <c r="BV294" i="1"/>
  <c r="BU294" i="1"/>
  <c r="BN294" i="1"/>
  <c r="BG294" i="1"/>
  <c r="BF294" i="1"/>
  <c r="AV294" i="1"/>
  <c r="AP294" i="1"/>
  <c r="AO294" i="1"/>
  <c r="AH294" i="1"/>
  <c r="AG294" i="1"/>
  <c r="P294" i="1"/>
  <c r="O294" i="1"/>
  <c r="I294" i="1"/>
  <c r="H294" i="1"/>
  <c r="CY293" i="1"/>
  <c r="CV293" i="1"/>
  <c r="CU293" i="1"/>
  <c r="CO293" i="1"/>
  <c r="CN293" i="1"/>
  <c r="CH293" i="1"/>
  <c r="CG293" i="1"/>
  <c r="BV293" i="1"/>
  <c r="BU293" i="1"/>
  <c r="BN293" i="1"/>
  <c r="BG293" i="1"/>
  <c r="BF293" i="1"/>
  <c r="AV293" i="1"/>
  <c r="AP293" i="1"/>
  <c r="AO293" i="1"/>
  <c r="AH293" i="1"/>
  <c r="AG293" i="1"/>
  <c r="P293" i="1"/>
  <c r="O293" i="1"/>
  <c r="I293" i="1"/>
  <c r="H293" i="1"/>
  <c r="CY292" i="1"/>
  <c r="CV292" i="1"/>
  <c r="CU292" i="1"/>
  <c r="CO292" i="1"/>
  <c r="CN292" i="1"/>
  <c r="CH292" i="1"/>
  <c r="CG292" i="1"/>
  <c r="BV292" i="1"/>
  <c r="BU292" i="1"/>
  <c r="BN292" i="1"/>
  <c r="BG292" i="1"/>
  <c r="BF292" i="1"/>
  <c r="AV292" i="1"/>
  <c r="AP292" i="1"/>
  <c r="AO292" i="1"/>
  <c r="AH292" i="1"/>
  <c r="AG292" i="1"/>
  <c r="P292" i="1"/>
  <c r="O292" i="1"/>
  <c r="I292" i="1"/>
  <c r="H292" i="1"/>
  <c r="CY291" i="1"/>
  <c r="CV291" i="1"/>
  <c r="CU291" i="1"/>
  <c r="CO291" i="1"/>
  <c r="CN291" i="1"/>
  <c r="CH291" i="1"/>
  <c r="CG291" i="1"/>
  <c r="BV291" i="1"/>
  <c r="BU291" i="1"/>
  <c r="BN291" i="1"/>
  <c r="BG291" i="1"/>
  <c r="BF291" i="1"/>
  <c r="AV291" i="1"/>
  <c r="AP291" i="1"/>
  <c r="AO291" i="1"/>
  <c r="AH291" i="1"/>
  <c r="AG291" i="1"/>
  <c r="P291" i="1"/>
  <c r="O291" i="1"/>
  <c r="I291" i="1"/>
  <c r="H291" i="1"/>
  <c r="CY290" i="1"/>
  <c r="CV290" i="1"/>
  <c r="CU290" i="1"/>
  <c r="CO290" i="1"/>
  <c r="CN290" i="1"/>
  <c r="CH290" i="1"/>
  <c r="CG290" i="1"/>
  <c r="BV290" i="1"/>
  <c r="BU290" i="1"/>
  <c r="BN290" i="1"/>
  <c r="BG290" i="1"/>
  <c r="BF290" i="1"/>
  <c r="AV290" i="1"/>
  <c r="AP290" i="1"/>
  <c r="AO290" i="1"/>
  <c r="AH290" i="1"/>
  <c r="AG290" i="1"/>
  <c r="P290" i="1"/>
  <c r="O290" i="1"/>
  <c r="I290" i="1"/>
  <c r="H290" i="1"/>
  <c r="CY289" i="1"/>
  <c r="CV289" i="1"/>
  <c r="CU289" i="1"/>
  <c r="CO289" i="1"/>
  <c r="CN289" i="1"/>
  <c r="CH289" i="1"/>
  <c r="CG289" i="1"/>
  <c r="BV289" i="1"/>
  <c r="BU289" i="1"/>
  <c r="BN289" i="1"/>
  <c r="BG289" i="1"/>
  <c r="BF289" i="1"/>
  <c r="AV289" i="1"/>
  <c r="AP289" i="1"/>
  <c r="AO289" i="1"/>
  <c r="AH289" i="1"/>
  <c r="AG289" i="1"/>
  <c r="P289" i="1"/>
  <c r="O289" i="1"/>
  <c r="I289" i="1"/>
  <c r="H289" i="1"/>
  <c r="CY288" i="1"/>
  <c r="CV288" i="1"/>
  <c r="CU288" i="1"/>
  <c r="CO288" i="1"/>
  <c r="CN288" i="1"/>
  <c r="CH288" i="1"/>
  <c r="CG288" i="1"/>
  <c r="BV288" i="1"/>
  <c r="BU288" i="1"/>
  <c r="BN288" i="1"/>
  <c r="BG288" i="1"/>
  <c r="BF288" i="1"/>
  <c r="AV288" i="1"/>
  <c r="AP288" i="1"/>
  <c r="AO288" i="1"/>
  <c r="AH288" i="1"/>
  <c r="AG288" i="1"/>
  <c r="P288" i="1"/>
  <c r="O288" i="1"/>
  <c r="I288" i="1"/>
  <c r="H288" i="1"/>
  <c r="CY287" i="1"/>
  <c r="CV287" i="1"/>
  <c r="CU287" i="1"/>
  <c r="CO287" i="1"/>
  <c r="CN287" i="1"/>
  <c r="CH287" i="1"/>
  <c r="CG287" i="1"/>
  <c r="BV287" i="1"/>
  <c r="BU287" i="1"/>
  <c r="BN287" i="1"/>
  <c r="BG287" i="1"/>
  <c r="BF287" i="1"/>
  <c r="AV287" i="1"/>
  <c r="AP287" i="1"/>
  <c r="AO287" i="1"/>
  <c r="AH287" i="1"/>
  <c r="AG287" i="1"/>
  <c r="P287" i="1"/>
  <c r="O287" i="1"/>
  <c r="I287" i="1"/>
  <c r="H287" i="1"/>
  <c r="CY286" i="1"/>
  <c r="CV286" i="1"/>
  <c r="CU286" i="1"/>
  <c r="CO286" i="1"/>
  <c r="CN286" i="1"/>
  <c r="CH286" i="1"/>
  <c r="CG286" i="1"/>
  <c r="BV286" i="1"/>
  <c r="BU286" i="1"/>
  <c r="BN286" i="1"/>
  <c r="BG286" i="1"/>
  <c r="BF286" i="1"/>
  <c r="AV286" i="1"/>
  <c r="AP286" i="1"/>
  <c r="AO286" i="1"/>
  <c r="AH286" i="1"/>
  <c r="AG286" i="1"/>
  <c r="P286" i="1"/>
  <c r="O286" i="1"/>
  <c r="I286" i="1"/>
  <c r="H286" i="1"/>
  <c r="CY285" i="1"/>
  <c r="CV285" i="1"/>
  <c r="CU285" i="1"/>
  <c r="CO285" i="1"/>
  <c r="CN285" i="1"/>
  <c r="CH285" i="1"/>
  <c r="CG285" i="1"/>
  <c r="BV285" i="1"/>
  <c r="BU285" i="1"/>
  <c r="BN285" i="1"/>
  <c r="BG285" i="1"/>
  <c r="BF285" i="1"/>
  <c r="AV285" i="1"/>
  <c r="AP285" i="1"/>
  <c r="AO285" i="1"/>
  <c r="AH285" i="1"/>
  <c r="AG285" i="1"/>
  <c r="P285" i="1"/>
  <c r="O285" i="1"/>
  <c r="I285" i="1"/>
  <c r="H285" i="1"/>
  <c r="CY284" i="1"/>
  <c r="CV284" i="1"/>
  <c r="CU284" i="1"/>
  <c r="CO284" i="1"/>
  <c r="CN284" i="1"/>
  <c r="CH284" i="1"/>
  <c r="CG284" i="1"/>
  <c r="BV284" i="1"/>
  <c r="BU284" i="1"/>
  <c r="BN284" i="1"/>
  <c r="BG284" i="1"/>
  <c r="BF284" i="1"/>
  <c r="AV284" i="1"/>
  <c r="AP284" i="1"/>
  <c r="AO284" i="1"/>
  <c r="AH284" i="1"/>
  <c r="AG284" i="1"/>
  <c r="P284" i="1"/>
  <c r="O284" i="1"/>
  <c r="I284" i="1"/>
  <c r="H284" i="1"/>
  <c r="CY283" i="1"/>
  <c r="CV283" i="1"/>
  <c r="CU283" i="1"/>
  <c r="CO283" i="1"/>
  <c r="CN283" i="1"/>
  <c r="CH283" i="1"/>
  <c r="CG283" i="1"/>
  <c r="BV283" i="1"/>
  <c r="BU283" i="1"/>
  <c r="BN283" i="1"/>
  <c r="BG283" i="1"/>
  <c r="BF283" i="1"/>
  <c r="AV283" i="1"/>
  <c r="AP283" i="1"/>
  <c r="AO283" i="1"/>
  <c r="AH283" i="1"/>
  <c r="AG283" i="1"/>
  <c r="P283" i="1"/>
  <c r="O283" i="1"/>
  <c r="I283" i="1"/>
  <c r="H283" i="1"/>
  <c r="CY282" i="1"/>
  <c r="CV282" i="1"/>
  <c r="CU282" i="1"/>
  <c r="CO282" i="1"/>
  <c r="CN282" i="1"/>
  <c r="CH282" i="1"/>
  <c r="CG282" i="1"/>
  <c r="BV282" i="1"/>
  <c r="BU282" i="1"/>
  <c r="BN282" i="1"/>
  <c r="BG282" i="1"/>
  <c r="BF282" i="1"/>
  <c r="AV282" i="1"/>
  <c r="AP282" i="1"/>
  <c r="AO282" i="1"/>
  <c r="AH282" i="1"/>
  <c r="AG282" i="1"/>
  <c r="P282" i="1"/>
  <c r="O282" i="1"/>
  <c r="I282" i="1"/>
  <c r="H282" i="1"/>
  <c r="CY281" i="1"/>
  <c r="CV281" i="1"/>
  <c r="CU281" i="1"/>
  <c r="CO281" i="1"/>
  <c r="CN281" i="1"/>
  <c r="CH281" i="1"/>
  <c r="CG281" i="1"/>
  <c r="BV281" i="1"/>
  <c r="BU281" i="1"/>
  <c r="BN281" i="1"/>
  <c r="BG281" i="1"/>
  <c r="BF281" i="1"/>
  <c r="AV281" i="1"/>
  <c r="AP281" i="1"/>
  <c r="AO281" i="1"/>
  <c r="AH281" i="1"/>
  <c r="AG281" i="1"/>
  <c r="P281" i="1"/>
  <c r="O281" i="1"/>
  <c r="I281" i="1"/>
  <c r="H281" i="1"/>
  <c r="CY280" i="1"/>
  <c r="CV280" i="1"/>
  <c r="CU280" i="1"/>
  <c r="CO280" i="1"/>
  <c r="CN280" i="1"/>
  <c r="CH280" i="1"/>
  <c r="CG280" i="1"/>
  <c r="BV280" i="1"/>
  <c r="BU280" i="1"/>
  <c r="BN280" i="1"/>
  <c r="BG280" i="1"/>
  <c r="BF280" i="1"/>
  <c r="AV280" i="1"/>
  <c r="AP280" i="1"/>
  <c r="AO280" i="1"/>
  <c r="AH280" i="1"/>
  <c r="AG280" i="1"/>
  <c r="P280" i="1"/>
  <c r="O280" i="1"/>
  <c r="I280" i="1"/>
  <c r="H280" i="1"/>
  <c r="CY279" i="1"/>
  <c r="CV279" i="1"/>
  <c r="CU279" i="1"/>
  <c r="CO279" i="1"/>
  <c r="CN279" i="1"/>
  <c r="CH279" i="1"/>
  <c r="CG279" i="1"/>
  <c r="BV279" i="1"/>
  <c r="BU279" i="1"/>
  <c r="BN279" i="1"/>
  <c r="BG279" i="1"/>
  <c r="BF279" i="1"/>
  <c r="AV279" i="1"/>
  <c r="AP279" i="1"/>
  <c r="AO279" i="1"/>
  <c r="AH279" i="1"/>
  <c r="AG279" i="1"/>
  <c r="P279" i="1"/>
  <c r="O279" i="1"/>
  <c r="I279" i="1"/>
  <c r="H279" i="1"/>
  <c r="CY278" i="1"/>
  <c r="CV278" i="1"/>
  <c r="CU278" i="1"/>
  <c r="CO278" i="1"/>
  <c r="CN278" i="1"/>
  <c r="CH278" i="1"/>
  <c r="CG278" i="1"/>
  <c r="BV278" i="1"/>
  <c r="BU278" i="1"/>
  <c r="BN278" i="1"/>
  <c r="BG278" i="1"/>
  <c r="BF278" i="1"/>
  <c r="AV278" i="1"/>
  <c r="AP278" i="1"/>
  <c r="AO278" i="1"/>
  <c r="AH278" i="1"/>
  <c r="AG278" i="1"/>
  <c r="P278" i="1"/>
  <c r="O278" i="1"/>
  <c r="I278" i="1"/>
  <c r="H278" i="1"/>
  <c r="CY277" i="1"/>
  <c r="CV277" i="1"/>
  <c r="CU277" i="1"/>
  <c r="CO277" i="1"/>
  <c r="CN277" i="1"/>
  <c r="CH277" i="1"/>
  <c r="CG277" i="1"/>
  <c r="BV277" i="1"/>
  <c r="BU277" i="1"/>
  <c r="BN277" i="1"/>
  <c r="BG277" i="1"/>
  <c r="BF277" i="1"/>
  <c r="AV277" i="1"/>
  <c r="AP277" i="1"/>
  <c r="AO277" i="1"/>
  <c r="AH277" i="1"/>
  <c r="AG277" i="1"/>
  <c r="P277" i="1"/>
  <c r="O277" i="1"/>
  <c r="I277" i="1"/>
  <c r="H277" i="1"/>
  <c r="CY276" i="1"/>
  <c r="CV276" i="1"/>
  <c r="CU276" i="1"/>
  <c r="CO276" i="1"/>
  <c r="CN276" i="1"/>
  <c r="CH276" i="1"/>
  <c r="CG276" i="1"/>
  <c r="BV276" i="1"/>
  <c r="BU276" i="1"/>
  <c r="BN276" i="1"/>
  <c r="BG276" i="1"/>
  <c r="BF276" i="1"/>
  <c r="AV276" i="1"/>
  <c r="AP276" i="1"/>
  <c r="AO276" i="1"/>
  <c r="AH276" i="1"/>
  <c r="AG276" i="1"/>
  <c r="P276" i="1"/>
  <c r="O276" i="1"/>
  <c r="I276" i="1"/>
  <c r="H276" i="1"/>
  <c r="CY275" i="1"/>
  <c r="CV275" i="1"/>
  <c r="CU275" i="1"/>
  <c r="CO275" i="1"/>
  <c r="CN275" i="1"/>
  <c r="CH275" i="1"/>
  <c r="CG275" i="1"/>
  <c r="BV275" i="1"/>
  <c r="BU275" i="1"/>
  <c r="BN275" i="1"/>
  <c r="BG275" i="1"/>
  <c r="BF275" i="1"/>
  <c r="AV275" i="1"/>
  <c r="AP275" i="1"/>
  <c r="AO275" i="1"/>
  <c r="AH275" i="1"/>
  <c r="AG275" i="1"/>
  <c r="P275" i="1"/>
  <c r="O275" i="1"/>
  <c r="I275" i="1"/>
  <c r="H275" i="1"/>
  <c r="CY274" i="1"/>
  <c r="CV274" i="1"/>
  <c r="CU274" i="1"/>
  <c r="CO274" i="1"/>
  <c r="CN274" i="1"/>
  <c r="CH274" i="1"/>
  <c r="CG274" i="1"/>
  <c r="BV274" i="1"/>
  <c r="BU274" i="1"/>
  <c r="BN274" i="1"/>
  <c r="BG274" i="1"/>
  <c r="BF274" i="1"/>
  <c r="AV274" i="1"/>
  <c r="AP274" i="1"/>
  <c r="AO274" i="1"/>
  <c r="AH274" i="1"/>
  <c r="AG274" i="1"/>
  <c r="P274" i="1"/>
  <c r="O274" i="1"/>
  <c r="I274" i="1"/>
  <c r="H274" i="1"/>
  <c r="CY273" i="1"/>
  <c r="CV273" i="1"/>
  <c r="CU273" i="1"/>
  <c r="CO273" i="1"/>
  <c r="CN273" i="1"/>
  <c r="CH273" i="1"/>
  <c r="CG273" i="1"/>
  <c r="BV273" i="1"/>
  <c r="BU273" i="1"/>
  <c r="BN273" i="1"/>
  <c r="BG273" i="1"/>
  <c r="BF273" i="1"/>
  <c r="AV273" i="1"/>
  <c r="AP273" i="1"/>
  <c r="AO273" i="1"/>
  <c r="AH273" i="1"/>
  <c r="AG273" i="1"/>
  <c r="P273" i="1"/>
  <c r="O273" i="1"/>
  <c r="I273" i="1"/>
  <c r="H273" i="1"/>
  <c r="CY272" i="1"/>
  <c r="CV272" i="1"/>
  <c r="CU272" i="1"/>
  <c r="CO272" i="1"/>
  <c r="CN272" i="1"/>
  <c r="CH272" i="1"/>
  <c r="CG272" i="1"/>
  <c r="BV272" i="1"/>
  <c r="BU272" i="1"/>
  <c r="BN272" i="1"/>
  <c r="BG272" i="1"/>
  <c r="BF272" i="1"/>
  <c r="AV272" i="1"/>
  <c r="AP272" i="1"/>
  <c r="AO272" i="1"/>
  <c r="AH272" i="1"/>
  <c r="AG272" i="1"/>
  <c r="P272" i="1"/>
  <c r="O272" i="1"/>
  <c r="I272" i="1"/>
  <c r="H272" i="1"/>
  <c r="CY271" i="1"/>
  <c r="CV271" i="1"/>
  <c r="CU271" i="1"/>
  <c r="CO271" i="1"/>
  <c r="CN271" i="1"/>
  <c r="CH271" i="1"/>
  <c r="CG271" i="1"/>
  <c r="BV271" i="1"/>
  <c r="BU271" i="1"/>
  <c r="BN271" i="1"/>
  <c r="BG271" i="1"/>
  <c r="BF271" i="1"/>
  <c r="AV271" i="1"/>
  <c r="AP271" i="1"/>
  <c r="AO271" i="1"/>
  <c r="AH271" i="1"/>
  <c r="AG271" i="1"/>
  <c r="P271" i="1"/>
  <c r="O271" i="1"/>
  <c r="I271" i="1"/>
  <c r="H271" i="1"/>
  <c r="CY270" i="1"/>
  <c r="CV270" i="1"/>
  <c r="CU270" i="1"/>
  <c r="CO270" i="1"/>
  <c r="CN270" i="1"/>
  <c r="CH270" i="1"/>
  <c r="CG270" i="1"/>
  <c r="BV270" i="1"/>
  <c r="BU270" i="1"/>
  <c r="BN270" i="1"/>
  <c r="BG270" i="1"/>
  <c r="BF270" i="1"/>
  <c r="AV270" i="1"/>
  <c r="AP270" i="1"/>
  <c r="AO270" i="1"/>
  <c r="AH270" i="1"/>
  <c r="AG270" i="1"/>
  <c r="P270" i="1"/>
  <c r="O270" i="1"/>
  <c r="I270" i="1"/>
  <c r="H270" i="1"/>
  <c r="CY269" i="1"/>
  <c r="CV269" i="1"/>
  <c r="CU269" i="1"/>
  <c r="CO269" i="1"/>
  <c r="CN269" i="1"/>
  <c r="CH269" i="1"/>
  <c r="CG269" i="1"/>
  <c r="BV269" i="1"/>
  <c r="BU269" i="1"/>
  <c r="BN269" i="1"/>
  <c r="BG269" i="1"/>
  <c r="BF269" i="1"/>
  <c r="AV269" i="1"/>
  <c r="AP269" i="1"/>
  <c r="AO269" i="1"/>
  <c r="AH269" i="1"/>
  <c r="AG269" i="1"/>
  <c r="P269" i="1"/>
  <c r="O269" i="1"/>
  <c r="I269" i="1"/>
  <c r="H269" i="1"/>
  <c r="CY268" i="1"/>
  <c r="CV268" i="1"/>
  <c r="CU268" i="1"/>
  <c r="CO268" i="1"/>
  <c r="CN268" i="1"/>
  <c r="CH268" i="1"/>
  <c r="CG268" i="1"/>
  <c r="BV268" i="1"/>
  <c r="BU268" i="1"/>
  <c r="BN268" i="1"/>
  <c r="BG268" i="1"/>
  <c r="BF268" i="1"/>
  <c r="AV268" i="1"/>
  <c r="AP268" i="1"/>
  <c r="AO268" i="1"/>
  <c r="AH268" i="1"/>
  <c r="AG268" i="1"/>
  <c r="P268" i="1"/>
  <c r="O268" i="1"/>
  <c r="I268" i="1"/>
  <c r="H268" i="1"/>
  <c r="CY267" i="1"/>
  <c r="CV267" i="1"/>
  <c r="CU267" i="1"/>
  <c r="CO267" i="1"/>
  <c r="CN267" i="1"/>
  <c r="CH267" i="1"/>
  <c r="CG267" i="1"/>
  <c r="BV267" i="1"/>
  <c r="BU267" i="1"/>
  <c r="BN267" i="1"/>
  <c r="BG267" i="1"/>
  <c r="BF267" i="1"/>
  <c r="AV267" i="1"/>
  <c r="AP267" i="1"/>
  <c r="AO267" i="1"/>
  <c r="AH267" i="1"/>
  <c r="AG267" i="1"/>
  <c r="P267" i="1"/>
  <c r="O267" i="1"/>
  <c r="I267" i="1"/>
  <c r="H267" i="1"/>
  <c r="CY266" i="1"/>
  <c r="CV266" i="1"/>
  <c r="CU266" i="1"/>
  <c r="CO266" i="1"/>
  <c r="CN266" i="1"/>
  <c r="CH266" i="1"/>
  <c r="CG266" i="1"/>
  <c r="BV266" i="1"/>
  <c r="BU266" i="1"/>
  <c r="BN266" i="1"/>
  <c r="BG266" i="1"/>
  <c r="BF266" i="1"/>
  <c r="AV266" i="1"/>
  <c r="AP266" i="1"/>
  <c r="AO266" i="1"/>
  <c r="AH266" i="1"/>
  <c r="AG266" i="1"/>
  <c r="P266" i="1"/>
  <c r="O266" i="1"/>
  <c r="I266" i="1"/>
  <c r="H266" i="1"/>
  <c r="CY265" i="1"/>
  <c r="CV265" i="1"/>
  <c r="CU265" i="1"/>
  <c r="CO265" i="1"/>
  <c r="CN265" i="1"/>
  <c r="CH265" i="1"/>
  <c r="CG265" i="1"/>
  <c r="BV265" i="1"/>
  <c r="BU265" i="1"/>
  <c r="BN265" i="1"/>
  <c r="BG265" i="1"/>
  <c r="BF265" i="1"/>
  <c r="AV265" i="1"/>
  <c r="AP265" i="1"/>
  <c r="AO265" i="1"/>
  <c r="AH265" i="1"/>
  <c r="AG265" i="1"/>
  <c r="P265" i="1"/>
  <c r="O265" i="1"/>
  <c r="I265" i="1"/>
  <c r="H265" i="1"/>
  <c r="CY264" i="1"/>
  <c r="CV264" i="1"/>
  <c r="CU264" i="1"/>
  <c r="CO264" i="1"/>
  <c r="CN264" i="1"/>
  <c r="CH264" i="1"/>
  <c r="CG264" i="1"/>
  <c r="BV264" i="1"/>
  <c r="BU264" i="1"/>
  <c r="BN264" i="1"/>
  <c r="BG264" i="1"/>
  <c r="BF264" i="1"/>
  <c r="AV264" i="1"/>
  <c r="AP264" i="1"/>
  <c r="AO264" i="1"/>
  <c r="AH264" i="1"/>
  <c r="AG264" i="1"/>
  <c r="P264" i="1"/>
  <c r="O264" i="1"/>
  <c r="I264" i="1"/>
  <c r="H264" i="1"/>
  <c r="CY263" i="1"/>
  <c r="CV263" i="1"/>
  <c r="CU263" i="1"/>
  <c r="CO263" i="1"/>
  <c r="CN263" i="1"/>
  <c r="CH263" i="1"/>
  <c r="CG263" i="1"/>
  <c r="BV263" i="1"/>
  <c r="BU263" i="1"/>
  <c r="BN263" i="1"/>
  <c r="BG263" i="1"/>
  <c r="BF263" i="1"/>
  <c r="AV263" i="1"/>
  <c r="AP263" i="1"/>
  <c r="AO263" i="1"/>
  <c r="AH263" i="1"/>
  <c r="AG263" i="1"/>
  <c r="P263" i="1"/>
  <c r="O263" i="1"/>
  <c r="I263" i="1"/>
  <c r="H263" i="1"/>
  <c r="CY262" i="1"/>
  <c r="CV262" i="1"/>
  <c r="CU262" i="1"/>
  <c r="CO262" i="1"/>
  <c r="CN262" i="1"/>
  <c r="CH262" i="1"/>
  <c r="CG262" i="1"/>
  <c r="BV262" i="1"/>
  <c r="BU262" i="1"/>
  <c r="BN262" i="1"/>
  <c r="BG262" i="1"/>
  <c r="BF262" i="1"/>
  <c r="AV262" i="1"/>
  <c r="AP262" i="1"/>
  <c r="AO262" i="1"/>
  <c r="AH262" i="1"/>
  <c r="AG262" i="1"/>
  <c r="P262" i="1"/>
  <c r="O262" i="1"/>
  <c r="I262" i="1"/>
  <c r="H262" i="1"/>
  <c r="CY261" i="1"/>
  <c r="CV261" i="1"/>
  <c r="CU261" i="1"/>
  <c r="CO261" i="1"/>
  <c r="CN261" i="1"/>
  <c r="CH261" i="1"/>
  <c r="CG261" i="1"/>
  <c r="BV261" i="1"/>
  <c r="BU261" i="1"/>
  <c r="BN261" i="1"/>
  <c r="BG261" i="1"/>
  <c r="BF261" i="1"/>
  <c r="AV261" i="1"/>
  <c r="AP261" i="1"/>
  <c r="AO261" i="1"/>
  <c r="AH261" i="1"/>
  <c r="AG261" i="1"/>
  <c r="P261" i="1"/>
  <c r="O261" i="1"/>
  <c r="I261" i="1"/>
  <c r="H261" i="1"/>
  <c r="CY260" i="1"/>
  <c r="CV260" i="1"/>
  <c r="CU260" i="1"/>
  <c r="CO260" i="1"/>
  <c r="CN260" i="1"/>
  <c r="CH260" i="1"/>
  <c r="CG260" i="1"/>
  <c r="BV260" i="1"/>
  <c r="BU260" i="1"/>
  <c r="BN260" i="1"/>
  <c r="BG260" i="1"/>
  <c r="BF260" i="1"/>
  <c r="AV260" i="1"/>
  <c r="AP260" i="1"/>
  <c r="AO260" i="1"/>
  <c r="AH260" i="1"/>
  <c r="AG260" i="1"/>
  <c r="P260" i="1"/>
  <c r="O260" i="1"/>
  <c r="I260" i="1"/>
  <c r="H260" i="1"/>
  <c r="CY259" i="1"/>
  <c r="CV259" i="1"/>
  <c r="CU259" i="1"/>
  <c r="CO259" i="1"/>
  <c r="CN259" i="1"/>
  <c r="CH259" i="1"/>
  <c r="CG259" i="1"/>
  <c r="BV259" i="1"/>
  <c r="BU259" i="1"/>
  <c r="BN259" i="1"/>
  <c r="BG259" i="1"/>
  <c r="BF259" i="1"/>
  <c r="AV259" i="1"/>
  <c r="AP259" i="1"/>
  <c r="AO259" i="1"/>
  <c r="AH259" i="1"/>
  <c r="AG259" i="1"/>
  <c r="P259" i="1"/>
  <c r="O259" i="1"/>
  <c r="I259" i="1"/>
  <c r="H259" i="1"/>
  <c r="CY258" i="1"/>
  <c r="CV258" i="1"/>
  <c r="CU258" i="1"/>
  <c r="CO258" i="1"/>
  <c r="CN258" i="1"/>
  <c r="CH258" i="1"/>
  <c r="CG258" i="1"/>
  <c r="BV258" i="1"/>
  <c r="BU258" i="1"/>
  <c r="BN258" i="1"/>
  <c r="BG258" i="1"/>
  <c r="BF258" i="1"/>
  <c r="AV258" i="1"/>
  <c r="AP258" i="1"/>
  <c r="AO258" i="1"/>
  <c r="AH258" i="1"/>
  <c r="AG258" i="1"/>
  <c r="P258" i="1"/>
  <c r="O258" i="1"/>
  <c r="I258" i="1"/>
  <c r="H258" i="1"/>
  <c r="CY257" i="1"/>
  <c r="CV257" i="1"/>
  <c r="CU257" i="1"/>
  <c r="CO257" i="1"/>
  <c r="CN257" i="1"/>
  <c r="CH257" i="1"/>
  <c r="CG257" i="1"/>
  <c r="BV257" i="1"/>
  <c r="BU257" i="1"/>
  <c r="BN257" i="1"/>
  <c r="BG257" i="1"/>
  <c r="BF257" i="1"/>
  <c r="AV257" i="1"/>
  <c r="AP257" i="1"/>
  <c r="AO257" i="1"/>
  <c r="AH257" i="1"/>
  <c r="AG257" i="1"/>
  <c r="P257" i="1"/>
  <c r="O257" i="1"/>
  <c r="I257" i="1"/>
  <c r="H257" i="1"/>
  <c r="CY256" i="1"/>
  <c r="CV256" i="1"/>
  <c r="CU256" i="1"/>
  <c r="CO256" i="1"/>
  <c r="CN256" i="1"/>
  <c r="CH256" i="1"/>
  <c r="CG256" i="1"/>
  <c r="BV256" i="1"/>
  <c r="BU256" i="1"/>
  <c r="BN256" i="1"/>
  <c r="BG256" i="1"/>
  <c r="BF256" i="1"/>
  <c r="AV256" i="1"/>
  <c r="AP256" i="1"/>
  <c r="AO256" i="1"/>
  <c r="AH256" i="1"/>
  <c r="AG256" i="1"/>
  <c r="P256" i="1"/>
  <c r="O256" i="1"/>
  <c r="I256" i="1"/>
  <c r="H256" i="1"/>
  <c r="CY255" i="1"/>
  <c r="CV255" i="1"/>
  <c r="CU255" i="1"/>
  <c r="CO255" i="1"/>
  <c r="CN255" i="1"/>
  <c r="CH255" i="1"/>
  <c r="CG255" i="1"/>
  <c r="BV255" i="1"/>
  <c r="BU255" i="1"/>
  <c r="BN255" i="1"/>
  <c r="BG255" i="1"/>
  <c r="BF255" i="1"/>
  <c r="AV255" i="1"/>
  <c r="AP255" i="1"/>
  <c r="AO255" i="1"/>
  <c r="AH255" i="1"/>
  <c r="AG255" i="1"/>
  <c r="P255" i="1"/>
  <c r="O255" i="1"/>
  <c r="I255" i="1"/>
  <c r="H255" i="1"/>
  <c r="CY254" i="1"/>
  <c r="CV254" i="1"/>
  <c r="CU254" i="1"/>
  <c r="CO254" i="1"/>
  <c r="CN254" i="1"/>
  <c r="CH254" i="1"/>
  <c r="CG254" i="1"/>
  <c r="BV254" i="1"/>
  <c r="BU254" i="1"/>
  <c r="BN254" i="1"/>
  <c r="BG254" i="1"/>
  <c r="BF254" i="1"/>
  <c r="AV254" i="1"/>
  <c r="AP254" i="1"/>
  <c r="AO254" i="1"/>
  <c r="AH254" i="1"/>
  <c r="AG254" i="1"/>
  <c r="P254" i="1"/>
  <c r="O254" i="1"/>
  <c r="I254" i="1"/>
  <c r="H254" i="1"/>
  <c r="CY253" i="1"/>
  <c r="CV253" i="1"/>
  <c r="CU253" i="1"/>
  <c r="CO253" i="1"/>
  <c r="CN253" i="1"/>
  <c r="CH253" i="1"/>
  <c r="CG253" i="1"/>
  <c r="BV253" i="1"/>
  <c r="BU253" i="1"/>
  <c r="BN253" i="1"/>
  <c r="BG253" i="1"/>
  <c r="BF253" i="1"/>
  <c r="AV253" i="1"/>
  <c r="AP253" i="1"/>
  <c r="AO253" i="1"/>
  <c r="AH253" i="1"/>
  <c r="AG253" i="1"/>
  <c r="P253" i="1"/>
  <c r="O253" i="1"/>
  <c r="I253" i="1"/>
  <c r="H253" i="1"/>
  <c r="CY252" i="1"/>
  <c r="CV252" i="1"/>
  <c r="CU252" i="1"/>
  <c r="CO252" i="1"/>
  <c r="CN252" i="1"/>
  <c r="CH252" i="1"/>
  <c r="CG252" i="1"/>
  <c r="BV252" i="1"/>
  <c r="BU252" i="1"/>
  <c r="BN252" i="1"/>
  <c r="BG252" i="1"/>
  <c r="BF252" i="1"/>
  <c r="AV252" i="1"/>
  <c r="AP252" i="1"/>
  <c r="AO252" i="1"/>
  <c r="AH252" i="1"/>
  <c r="AG252" i="1"/>
  <c r="P252" i="1"/>
  <c r="O252" i="1"/>
  <c r="I252" i="1"/>
  <c r="H252" i="1"/>
  <c r="CY251" i="1"/>
  <c r="CV251" i="1"/>
  <c r="CU251" i="1"/>
  <c r="CO251" i="1"/>
  <c r="CN251" i="1"/>
  <c r="CH251" i="1"/>
  <c r="CG251" i="1"/>
  <c r="BV251" i="1"/>
  <c r="BU251" i="1"/>
  <c r="BN251" i="1"/>
  <c r="BG251" i="1"/>
  <c r="BF251" i="1"/>
  <c r="AV251" i="1"/>
  <c r="AP251" i="1"/>
  <c r="AO251" i="1"/>
  <c r="AH251" i="1"/>
  <c r="AG251" i="1"/>
  <c r="P251" i="1"/>
  <c r="O251" i="1"/>
  <c r="I251" i="1"/>
  <c r="H251" i="1"/>
  <c r="CY250" i="1"/>
  <c r="CV250" i="1"/>
  <c r="CU250" i="1"/>
  <c r="CO250" i="1"/>
  <c r="CN250" i="1"/>
  <c r="CH250" i="1"/>
  <c r="CG250" i="1"/>
  <c r="BV250" i="1"/>
  <c r="BU250" i="1"/>
  <c r="BN250" i="1"/>
  <c r="BG250" i="1"/>
  <c r="BF250" i="1"/>
  <c r="AV250" i="1"/>
  <c r="AP250" i="1"/>
  <c r="AO250" i="1"/>
  <c r="AH250" i="1"/>
  <c r="AG250" i="1"/>
  <c r="P250" i="1"/>
  <c r="O250" i="1"/>
  <c r="I250" i="1"/>
  <c r="H250" i="1"/>
  <c r="CY249" i="1"/>
  <c r="CV249" i="1"/>
  <c r="CU249" i="1"/>
  <c r="CO249" i="1"/>
  <c r="CN249" i="1"/>
  <c r="CH249" i="1"/>
  <c r="CG249" i="1"/>
  <c r="BV249" i="1"/>
  <c r="BU249" i="1"/>
  <c r="BN249" i="1"/>
  <c r="BG249" i="1"/>
  <c r="BF249" i="1"/>
  <c r="AV249" i="1"/>
  <c r="AP249" i="1"/>
  <c r="AO249" i="1"/>
  <c r="AH249" i="1"/>
  <c r="AG249" i="1"/>
  <c r="P249" i="1"/>
  <c r="O249" i="1"/>
  <c r="I249" i="1"/>
  <c r="H249" i="1"/>
  <c r="CY248" i="1"/>
  <c r="CV248" i="1"/>
  <c r="CU248" i="1"/>
  <c r="CO248" i="1"/>
  <c r="CN248" i="1"/>
  <c r="CH248" i="1"/>
  <c r="CG248" i="1"/>
  <c r="BV248" i="1"/>
  <c r="BU248" i="1"/>
  <c r="BN248" i="1"/>
  <c r="BG248" i="1"/>
  <c r="BF248" i="1"/>
  <c r="AV248" i="1"/>
  <c r="AP248" i="1"/>
  <c r="AO248" i="1"/>
  <c r="AH248" i="1"/>
  <c r="AG248" i="1"/>
  <c r="P248" i="1"/>
  <c r="O248" i="1"/>
  <c r="I248" i="1"/>
  <c r="H248" i="1"/>
  <c r="CY247" i="1"/>
  <c r="CV247" i="1"/>
  <c r="CU247" i="1"/>
  <c r="CO247" i="1"/>
  <c r="CN247" i="1"/>
  <c r="CH247" i="1"/>
  <c r="CG247" i="1"/>
  <c r="BV247" i="1"/>
  <c r="BU247" i="1"/>
  <c r="BN247" i="1"/>
  <c r="BG247" i="1"/>
  <c r="BF247" i="1"/>
  <c r="AV247" i="1"/>
  <c r="AP247" i="1"/>
  <c r="AO247" i="1"/>
  <c r="AH247" i="1"/>
  <c r="AG247" i="1"/>
  <c r="P247" i="1"/>
  <c r="O247" i="1"/>
  <c r="I247" i="1"/>
  <c r="H247" i="1"/>
  <c r="CY246" i="1"/>
  <c r="CV246" i="1"/>
  <c r="CU246" i="1"/>
  <c r="CO246" i="1"/>
  <c r="CN246" i="1"/>
  <c r="CH246" i="1"/>
  <c r="CG246" i="1"/>
  <c r="BV246" i="1"/>
  <c r="BU246" i="1"/>
  <c r="BN246" i="1"/>
  <c r="BG246" i="1"/>
  <c r="BF246" i="1"/>
  <c r="AV246" i="1"/>
  <c r="AP246" i="1"/>
  <c r="AO246" i="1"/>
  <c r="AH246" i="1"/>
  <c r="AG246" i="1"/>
  <c r="P246" i="1"/>
  <c r="O246" i="1"/>
  <c r="I246" i="1"/>
  <c r="H246" i="1"/>
  <c r="CY245" i="1"/>
  <c r="CV245" i="1"/>
  <c r="CU245" i="1"/>
  <c r="CO245" i="1"/>
  <c r="CN245" i="1"/>
  <c r="CH245" i="1"/>
  <c r="CG245" i="1"/>
  <c r="BV245" i="1"/>
  <c r="BU245" i="1"/>
  <c r="BN245" i="1"/>
  <c r="BG245" i="1"/>
  <c r="BF245" i="1"/>
  <c r="AV245" i="1"/>
  <c r="AP245" i="1"/>
  <c r="AO245" i="1"/>
  <c r="AH245" i="1"/>
  <c r="AG245" i="1"/>
  <c r="P245" i="1"/>
  <c r="O245" i="1"/>
  <c r="I245" i="1"/>
  <c r="H245" i="1"/>
  <c r="CY244" i="1"/>
  <c r="CV244" i="1"/>
  <c r="CU244" i="1"/>
  <c r="CO244" i="1"/>
  <c r="CN244" i="1"/>
  <c r="CH244" i="1"/>
  <c r="CG244" i="1"/>
  <c r="BV244" i="1"/>
  <c r="BU244" i="1"/>
  <c r="BN244" i="1"/>
  <c r="BG244" i="1"/>
  <c r="BF244" i="1"/>
  <c r="AV244" i="1"/>
  <c r="AP244" i="1"/>
  <c r="AO244" i="1"/>
  <c r="AH244" i="1"/>
  <c r="AG244" i="1"/>
  <c r="P244" i="1"/>
  <c r="O244" i="1"/>
  <c r="I244" i="1"/>
  <c r="H244" i="1"/>
  <c r="CY243" i="1"/>
  <c r="CV243" i="1"/>
  <c r="CU243" i="1"/>
  <c r="CO243" i="1"/>
  <c r="CN243" i="1"/>
  <c r="CH243" i="1"/>
  <c r="CG243" i="1"/>
  <c r="BV243" i="1"/>
  <c r="BU243" i="1"/>
  <c r="BN243" i="1"/>
  <c r="BG243" i="1"/>
  <c r="BF243" i="1"/>
  <c r="AV243" i="1"/>
  <c r="AP243" i="1"/>
  <c r="AO243" i="1"/>
  <c r="AH243" i="1"/>
  <c r="AG243" i="1"/>
  <c r="P243" i="1"/>
  <c r="O243" i="1"/>
  <c r="I243" i="1"/>
  <c r="H243" i="1"/>
  <c r="CY242" i="1"/>
  <c r="CV242" i="1"/>
  <c r="CU242" i="1"/>
  <c r="CO242" i="1"/>
  <c r="CN242" i="1"/>
  <c r="CH242" i="1"/>
  <c r="CG242" i="1"/>
  <c r="BV242" i="1"/>
  <c r="BU242" i="1"/>
  <c r="BN242" i="1"/>
  <c r="BG242" i="1"/>
  <c r="BF242" i="1"/>
  <c r="AV242" i="1"/>
  <c r="AP242" i="1"/>
  <c r="AO242" i="1"/>
  <c r="AH242" i="1"/>
  <c r="AG242" i="1"/>
  <c r="P242" i="1"/>
  <c r="O242" i="1"/>
  <c r="I242" i="1"/>
  <c r="H242" i="1"/>
  <c r="CY239" i="1"/>
  <c r="CV239" i="1"/>
  <c r="CU239" i="1"/>
  <c r="CO239" i="1"/>
  <c r="CN239" i="1"/>
  <c r="CH239" i="1"/>
  <c r="CG239" i="1"/>
  <c r="BV239" i="1"/>
  <c r="BU239" i="1"/>
  <c r="BN239" i="1"/>
  <c r="BG239" i="1"/>
  <c r="BF239" i="1"/>
  <c r="AV239" i="1"/>
  <c r="AP239" i="1"/>
  <c r="AO239" i="1"/>
  <c r="AH239" i="1"/>
  <c r="AG239" i="1"/>
  <c r="P239" i="1"/>
  <c r="O239" i="1"/>
  <c r="I239" i="1"/>
  <c r="H239" i="1"/>
  <c r="CY238" i="1"/>
  <c r="CV238" i="1"/>
  <c r="CU238" i="1"/>
  <c r="CO238" i="1"/>
  <c r="CN238" i="1"/>
  <c r="CH238" i="1"/>
  <c r="CG238" i="1"/>
  <c r="BV238" i="1"/>
  <c r="BU238" i="1"/>
  <c r="BN238" i="1"/>
  <c r="BG238" i="1"/>
  <c r="BF238" i="1"/>
  <c r="AV238" i="1"/>
  <c r="AP238" i="1"/>
  <c r="AO238" i="1"/>
  <c r="AH238" i="1"/>
  <c r="AG238" i="1"/>
  <c r="P238" i="1"/>
  <c r="O238" i="1"/>
  <c r="I238" i="1"/>
  <c r="H238" i="1"/>
  <c r="CY237" i="1"/>
  <c r="CV237" i="1"/>
  <c r="CU237" i="1"/>
  <c r="CO237" i="1"/>
  <c r="CN237" i="1"/>
  <c r="CH237" i="1"/>
  <c r="CG237" i="1"/>
  <c r="BV237" i="1"/>
  <c r="BU237" i="1"/>
  <c r="BN237" i="1"/>
  <c r="BG237" i="1"/>
  <c r="BF237" i="1"/>
  <c r="AV237" i="1"/>
  <c r="AP237" i="1"/>
  <c r="AO237" i="1"/>
  <c r="AH237" i="1"/>
  <c r="AG237" i="1"/>
  <c r="P237" i="1"/>
  <c r="O237" i="1"/>
  <c r="I237" i="1"/>
  <c r="H237" i="1"/>
  <c r="CY236" i="1"/>
  <c r="CV236" i="1"/>
  <c r="CU236" i="1"/>
  <c r="CO236" i="1"/>
  <c r="CN236" i="1"/>
  <c r="CH236" i="1"/>
  <c r="CG236" i="1"/>
  <c r="BV236" i="1"/>
  <c r="BU236" i="1"/>
  <c r="BN236" i="1"/>
  <c r="BG236" i="1"/>
  <c r="BF236" i="1"/>
  <c r="AV236" i="1"/>
  <c r="AP236" i="1"/>
  <c r="AO236" i="1"/>
  <c r="AH236" i="1"/>
  <c r="AG236" i="1"/>
  <c r="P236" i="1"/>
  <c r="O236" i="1"/>
  <c r="I236" i="1"/>
  <c r="H236" i="1"/>
  <c r="CY235" i="1"/>
  <c r="CV235" i="1"/>
  <c r="CU235" i="1"/>
  <c r="CO235" i="1"/>
  <c r="CN235" i="1"/>
  <c r="CH235" i="1"/>
  <c r="CG235" i="1"/>
  <c r="BV235" i="1"/>
  <c r="BU235" i="1"/>
  <c r="BN235" i="1"/>
  <c r="BG235" i="1"/>
  <c r="BF235" i="1"/>
  <c r="AV235" i="1"/>
  <c r="AP235" i="1"/>
  <c r="AO235" i="1"/>
  <c r="AH235" i="1"/>
  <c r="AG235" i="1"/>
  <c r="P235" i="1"/>
  <c r="O235" i="1"/>
  <c r="I235" i="1"/>
  <c r="H235" i="1"/>
  <c r="CY234" i="1"/>
  <c r="CV234" i="1"/>
  <c r="CU234" i="1"/>
  <c r="CO234" i="1"/>
  <c r="CN234" i="1"/>
  <c r="CH234" i="1"/>
  <c r="CG234" i="1"/>
  <c r="BV234" i="1"/>
  <c r="BU234" i="1"/>
  <c r="BN234" i="1"/>
  <c r="BG234" i="1"/>
  <c r="BF234" i="1"/>
  <c r="AV234" i="1"/>
  <c r="AP234" i="1"/>
  <c r="AO234" i="1"/>
  <c r="AH234" i="1"/>
  <c r="AG234" i="1"/>
  <c r="P234" i="1"/>
  <c r="O234" i="1"/>
  <c r="I234" i="1"/>
  <c r="H234" i="1"/>
  <c r="CY233" i="1"/>
  <c r="CV233" i="1"/>
  <c r="CU233" i="1"/>
  <c r="CO233" i="1"/>
  <c r="CN233" i="1"/>
  <c r="CH233" i="1"/>
  <c r="CG233" i="1"/>
  <c r="BV233" i="1"/>
  <c r="BU233" i="1"/>
  <c r="BN233" i="1"/>
  <c r="BG233" i="1"/>
  <c r="BF233" i="1"/>
  <c r="AV233" i="1"/>
  <c r="AP233" i="1"/>
  <c r="AO233" i="1"/>
  <c r="AH233" i="1"/>
  <c r="AG233" i="1"/>
  <c r="P233" i="1"/>
  <c r="O233" i="1"/>
  <c r="I233" i="1"/>
  <c r="H233" i="1"/>
  <c r="CY232" i="1"/>
  <c r="CV232" i="1"/>
  <c r="CU232" i="1"/>
  <c r="CO232" i="1"/>
  <c r="CN232" i="1"/>
  <c r="CH232" i="1"/>
  <c r="CG232" i="1"/>
  <c r="BV232" i="1"/>
  <c r="BU232" i="1"/>
  <c r="BN232" i="1"/>
  <c r="BG232" i="1"/>
  <c r="BF232" i="1"/>
  <c r="AV232" i="1"/>
  <c r="AP232" i="1"/>
  <c r="AO232" i="1"/>
  <c r="AH232" i="1"/>
  <c r="AG232" i="1"/>
  <c r="P232" i="1"/>
  <c r="O232" i="1"/>
  <c r="I232" i="1"/>
  <c r="H232" i="1"/>
  <c r="CY231" i="1"/>
  <c r="CV231" i="1"/>
  <c r="CU231" i="1"/>
  <c r="CO231" i="1"/>
  <c r="CN231" i="1"/>
  <c r="CH231" i="1"/>
  <c r="CG231" i="1"/>
  <c r="BV231" i="1"/>
  <c r="BU231" i="1"/>
  <c r="BN231" i="1"/>
  <c r="BG231" i="1"/>
  <c r="BF231" i="1"/>
  <c r="AV231" i="1"/>
  <c r="AP231" i="1"/>
  <c r="AO231" i="1"/>
  <c r="AH231" i="1"/>
  <c r="AG231" i="1"/>
  <c r="P231" i="1"/>
  <c r="O231" i="1"/>
  <c r="I231" i="1"/>
  <c r="H231" i="1"/>
  <c r="CY230" i="1"/>
  <c r="CV230" i="1"/>
  <c r="CU230" i="1"/>
  <c r="CO230" i="1"/>
  <c r="CN230" i="1"/>
  <c r="CH230" i="1"/>
  <c r="CG230" i="1"/>
  <c r="BV230" i="1"/>
  <c r="BU230" i="1"/>
  <c r="BN230" i="1"/>
  <c r="BG230" i="1"/>
  <c r="BF230" i="1"/>
  <c r="AV230" i="1"/>
  <c r="AP230" i="1"/>
  <c r="AO230" i="1"/>
  <c r="AH230" i="1"/>
  <c r="AG230" i="1"/>
  <c r="P230" i="1"/>
  <c r="O230" i="1"/>
  <c r="I230" i="1"/>
  <c r="H230" i="1"/>
  <c r="CY229" i="1"/>
  <c r="CV229" i="1"/>
  <c r="CU229" i="1"/>
  <c r="CO229" i="1"/>
  <c r="CN229" i="1"/>
  <c r="CH229" i="1"/>
  <c r="CG229" i="1"/>
  <c r="BV229" i="1"/>
  <c r="BU229" i="1"/>
  <c r="BN229" i="1"/>
  <c r="BG229" i="1"/>
  <c r="BF229" i="1"/>
  <c r="AV229" i="1"/>
  <c r="AP229" i="1"/>
  <c r="AO229" i="1"/>
  <c r="AH229" i="1"/>
  <c r="AG229" i="1"/>
  <c r="P229" i="1"/>
  <c r="O229" i="1"/>
  <c r="I229" i="1"/>
  <c r="H229" i="1"/>
  <c r="CY228" i="1"/>
  <c r="CV228" i="1"/>
  <c r="CU228" i="1"/>
  <c r="CO228" i="1"/>
  <c r="CN228" i="1"/>
  <c r="CH228" i="1"/>
  <c r="CG228" i="1"/>
  <c r="BV228" i="1"/>
  <c r="BU228" i="1"/>
  <c r="BN228" i="1"/>
  <c r="BG228" i="1"/>
  <c r="BF228" i="1"/>
  <c r="AV228" i="1"/>
  <c r="AP228" i="1"/>
  <c r="AO228" i="1"/>
  <c r="AH228" i="1"/>
  <c r="AG228" i="1"/>
  <c r="P228" i="1"/>
  <c r="O228" i="1"/>
  <c r="I228" i="1"/>
  <c r="H228" i="1"/>
  <c r="CY227" i="1"/>
  <c r="CV227" i="1"/>
  <c r="CU227" i="1"/>
  <c r="CO227" i="1"/>
  <c r="CN227" i="1"/>
  <c r="CH227" i="1"/>
  <c r="CG227" i="1"/>
  <c r="BV227" i="1"/>
  <c r="BU227" i="1"/>
  <c r="BN227" i="1"/>
  <c r="BG227" i="1"/>
  <c r="BF227" i="1"/>
  <c r="AV227" i="1"/>
  <c r="AP227" i="1"/>
  <c r="AO227" i="1"/>
  <c r="AH227" i="1"/>
  <c r="AG227" i="1"/>
  <c r="P227" i="1"/>
  <c r="O227" i="1"/>
  <c r="I227" i="1"/>
  <c r="H227" i="1"/>
  <c r="CY226" i="1"/>
  <c r="CV226" i="1"/>
  <c r="CU226" i="1"/>
  <c r="CO226" i="1"/>
  <c r="CN226" i="1"/>
  <c r="CH226" i="1"/>
  <c r="CG226" i="1"/>
  <c r="BV226" i="1"/>
  <c r="BU226" i="1"/>
  <c r="BN226" i="1"/>
  <c r="BG226" i="1"/>
  <c r="BF226" i="1"/>
  <c r="AV226" i="1"/>
  <c r="AP226" i="1"/>
  <c r="AO226" i="1"/>
  <c r="AH226" i="1"/>
  <c r="AG226" i="1"/>
  <c r="P226" i="1"/>
  <c r="O226" i="1"/>
  <c r="I226" i="1"/>
  <c r="H226" i="1"/>
  <c r="CY225" i="1"/>
  <c r="CV225" i="1"/>
  <c r="CU225" i="1"/>
  <c r="CO225" i="1"/>
  <c r="CN225" i="1"/>
  <c r="CH225" i="1"/>
  <c r="CG225" i="1"/>
  <c r="BV225" i="1"/>
  <c r="BU225" i="1"/>
  <c r="BN225" i="1"/>
  <c r="BG225" i="1"/>
  <c r="BF225" i="1"/>
  <c r="AV225" i="1"/>
  <c r="AP225" i="1"/>
  <c r="AO225" i="1"/>
  <c r="AH225" i="1"/>
  <c r="AG225" i="1"/>
  <c r="P225" i="1"/>
  <c r="O225" i="1"/>
  <c r="I225" i="1"/>
  <c r="H225" i="1"/>
  <c r="CY224" i="1"/>
  <c r="CV224" i="1"/>
  <c r="CU224" i="1"/>
  <c r="CO224" i="1"/>
  <c r="CN224" i="1"/>
  <c r="CH224" i="1"/>
  <c r="CG224" i="1"/>
  <c r="BV224" i="1"/>
  <c r="BU224" i="1"/>
  <c r="BN224" i="1"/>
  <c r="BG224" i="1"/>
  <c r="BF224" i="1"/>
  <c r="AV224" i="1"/>
  <c r="AP224" i="1"/>
  <c r="AO224" i="1"/>
  <c r="AH224" i="1"/>
  <c r="AG224" i="1"/>
  <c r="P224" i="1"/>
  <c r="O224" i="1"/>
  <c r="I224" i="1"/>
  <c r="H224" i="1"/>
  <c r="CY223" i="1"/>
  <c r="CV223" i="1"/>
  <c r="CU223" i="1"/>
  <c r="CO223" i="1"/>
  <c r="CN223" i="1"/>
  <c r="CH223" i="1"/>
  <c r="CG223" i="1"/>
  <c r="BV223" i="1"/>
  <c r="BU223" i="1"/>
  <c r="BN223" i="1"/>
  <c r="BG223" i="1"/>
  <c r="BF223" i="1"/>
  <c r="AV223" i="1"/>
  <c r="AP223" i="1"/>
  <c r="AO223" i="1"/>
  <c r="AH223" i="1"/>
  <c r="AG223" i="1"/>
  <c r="P223" i="1"/>
  <c r="O223" i="1"/>
  <c r="I223" i="1"/>
  <c r="H223" i="1"/>
  <c r="CY222" i="1"/>
  <c r="CV222" i="1"/>
  <c r="CU222" i="1"/>
  <c r="CO222" i="1"/>
  <c r="CN222" i="1"/>
  <c r="CH222" i="1"/>
  <c r="CG222" i="1"/>
  <c r="BV222" i="1"/>
  <c r="BU222" i="1"/>
  <c r="BN222" i="1"/>
  <c r="BG222" i="1"/>
  <c r="BF222" i="1"/>
  <c r="AV222" i="1"/>
  <c r="AP222" i="1"/>
  <c r="AO222" i="1"/>
  <c r="AH222" i="1"/>
  <c r="AG222" i="1"/>
  <c r="P222" i="1"/>
  <c r="O222" i="1"/>
  <c r="I222" i="1"/>
  <c r="H222" i="1"/>
  <c r="CY221" i="1"/>
  <c r="CV221" i="1"/>
  <c r="CU221" i="1"/>
  <c r="CO221" i="1"/>
  <c r="CN221" i="1"/>
  <c r="CH221" i="1"/>
  <c r="CG221" i="1"/>
  <c r="BV221" i="1"/>
  <c r="BU221" i="1"/>
  <c r="BN221" i="1"/>
  <c r="BG221" i="1"/>
  <c r="BF221" i="1"/>
  <c r="AV221" i="1"/>
  <c r="AP221" i="1"/>
  <c r="AO221" i="1"/>
  <c r="AH221" i="1"/>
  <c r="AG221" i="1"/>
  <c r="P221" i="1"/>
  <c r="O221" i="1"/>
  <c r="I221" i="1"/>
  <c r="H221" i="1"/>
  <c r="CY220" i="1"/>
  <c r="CV220" i="1"/>
  <c r="CU220" i="1"/>
  <c r="CO220" i="1"/>
  <c r="CN220" i="1"/>
  <c r="CH220" i="1"/>
  <c r="CG220" i="1"/>
  <c r="BV220" i="1"/>
  <c r="BU220" i="1"/>
  <c r="BN220" i="1"/>
  <c r="BG220" i="1"/>
  <c r="BF220" i="1"/>
  <c r="AV220" i="1"/>
  <c r="AP220" i="1"/>
  <c r="AO220" i="1"/>
  <c r="AH220" i="1"/>
  <c r="AG220" i="1"/>
  <c r="P220" i="1"/>
  <c r="O220" i="1"/>
  <c r="I220" i="1"/>
  <c r="H220" i="1"/>
  <c r="CY219" i="1"/>
  <c r="CV219" i="1"/>
  <c r="CU219" i="1"/>
  <c r="CO219" i="1"/>
  <c r="CN219" i="1"/>
  <c r="CH219" i="1"/>
  <c r="CG219" i="1"/>
  <c r="BV219" i="1"/>
  <c r="BU219" i="1"/>
  <c r="BN219" i="1"/>
  <c r="BG219" i="1"/>
  <c r="BF219" i="1"/>
  <c r="AV219" i="1"/>
  <c r="AP219" i="1"/>
  <c r="AO219" i="1"/>
  <c r="AH219" i="1"/>
  <c r="AG219" i="1"/>
  <c r="P219" i="1"/>
  <c r="O219" i="1"/>
  <c r="I219" i="1"/>
  <c r="H219" i="1"/>
  <c r="CY218" i="1"/>
  <c r="CV218" i="1"/>
  <c r="CU218" i="1"/>
  <c r="CO218" i="1"/>
  <c r="CN218" i="1"/>
  <c r="CH218" i="1"/>
  <c r="CG218" i="1"/>
  <c r="BV218" i="1"/>
  <c r="BU218" i="1"/>
  <c r="BN218" i="1"/>
  <c r="BG218" i="1"/>
  <c r="BF218" i="1"/>
  <c r="AV218" i="1"/>
  <c r="AP218" i="1"/>
  <c r="AO218" i="1"/>
  <c r="AH218" i="1"/>
  <c r="AG218" i="1"/>
  <c r="P218" i="1"/>
  <c r="O218" i="1"/>
  <c r="I218" i="1"/>
  <c r="H218" i="1"/>
  <c r="CY217" i="1"/>
  <c r="CV217" i="1"/>
  <c r="CU217" i="1"/>
  <c r="CO217" i="1"/>
  <c r="CN217" i="1"/>
  <c r="CH217" i="1"/>
  <c r="CG217" i="1"/>
  <c r="BV217" i="1"/>
  <c r="BU217" i="1"/>
  <c r="BN217" i="1"/>
  <c r="BG217" i="1"/>
  <c r="BF217" i="1"/>
  <c r="AV217" i="1"/>
  <c r="AP217" i="1"/>
  <c r="AO217" i="1"/>
  <c r="AH217" i="1"/>
  <c r="AG217" i="1"/>
  <c r="P217" i="1"/>
  <c r="O217" i="1"/>
  <c r="I217" i="1"/>
  <c r="H217" i="1"/>
  <c r="CY216" i="1"/>
  <c r="CV216" i="1"/>
  <c r="CU216" i="1"/>
  <c r="CO216" i="1"/>
  <c r="CN216" i="1"/>
  <c r="CH216" i="1"/>
  <c r="CG216" i="1"/>
  <c r="BV216" i="1"/>
  <c r="BU216" i="1"/>
  <c r="BN216" i="1"/>
  <c r="BG216" i="1"/>
  <c r="BF216" i="1"/>
  <c r="AV216" i="1"/>
  <c r="AP216" i="1"/>
  <c r="AO216" i="1"/>
  <c r="AH216" i="1"/>
  <c r="AG216" i="1"/>
  <c r="P216" i="1"/>
  <c r="O216" i="1"/>
  <c r="I216" i="1"/>
  <c r="H216" i="1"/>
  <c r="CY215" i="1"/>
  <c r="CV215" i="1"/>
  <c r="CU215" i="1"/>
  <c r="CO215" i="1"/>
  <c r="CN215" i="1"/>
  <c r="CH215" i="1"/>
  <c r="CG215" i="1"/>
  <c r="BV215" i="1"/>
  <c r="BU215" i="1"/>
  <c r="BN215" i="1"/>
  <c r="BG215" i="1"/>
  <c r="BF215" i="1"/>
  <c r="AV215" i="1"/>
  <c r="AP215" i="1"/>
  <c r="AO215" i="1"/>
  <c r="AH215" i="1"/>
  <c r="AG215" i="1"/>
  <c r="P215" i="1"/>
  <c r="O215" i="1"/>
  <c r="I215" i="1"/>
  <c r="H215" i="1"/>
  <c r="CY214" i="1"/>
  <c r="CV214" i="1"/>
  <c r="CU214" i="1"/>
  <c r="CO214" i="1"/>
  <c r="CN214" i="1"/>
  <c r="CH214" i="1"/>
  <c r="CG214" i="1"/>
  <c r="BV214" i="1"/>
  <c r="BU214" i="1"/>
  <c r="BN214" i="1"/>
  <c r="BG214" i="1"/>
  <c r="BF214" i="1"/>
  <c r="AV214" i="1"/>
  <c r="AP214" i="1"/>
  <c r="AO214" i="1"/>
  <c r="AH214" i="1"/>
  <c r="AG214" i="1"/>
  <c r="P214" i="1"/>
  <c r="O214" i="1"/>
  <c r="I214" i="1"/>
  <c r="H214" i="1"/>
  <c r="CY213" i="1"/>
  <c r="CV213" i="1"/>
  <c r="CU213" i="1"/>
  <c r="CO213" i="1"/>
  <c r="CN213" i="1"/>
  <c r="CH213" i="1"/>
  <c r="CG213" i="1"/>
  <c r="BV213" i="1"/>
  <c r="BU213" i="1"/>
  <c r="BN213" i="1"/>
  <c r="BG213" i="1"/>
  <c r="BF213" i="1"/>
  <c r="AV213" i="1"/>
  <c r="AP213" i="1"/>
  <c r="AO213" i="1"/>
  <c r="AH213" i="1"/>
  <c r="AG213" i="1"/>
  <c r="P213" i="1"/>
  <c r="O213" i="1"/>
  <c r="I213" i="1"/>
  <c r="H213" i="1"/>
  <c r="CY212" i="1"/>
  <c r="CV212" i="1"/>
  <c r="CU212" i="1"/>
  <c r="CO212" i="1"/>
  <c r="CN212" i="1"/>
  <c r="CH212" i="1"/>
  <c r="CG212" i="1"/>
  <c r="BV212" i="1"/>
  <c r="BU212" i="1"/>
  <c r="BN212" i="1"/>
  <c r="BG212" i="1"/>
  <c r="BF212" i="1"/>
  <c r="AV212" i="1"/>
  <c r="AP212" i="1"/>
  <c r="AO212" i="1"/>
  <c r="AH212" i="1"/>
  <c r="AG212" i="1"/>
  <c r="P212" i="1"/>
  <c r="O212" i="1"/>
  <c r="I212" i="1"/>
  <c r="H212" i="1"/>
  <c r="CY211" i="1"/>
  <c r="CV211" i="1"/>
  <c r="CU211" i="1"/>
  <c r="CO211" i="1"/>
  <c r="CN211" i="1"/>
  <c r="CH211" i="1"/>
  <c r="CG211" i="1"/>
  <c r="BV211" i="1"/>
  <c r="BU211" i="1"/>
  <c r="BN211" i="1"/>
  <c r="BG211" i="1"/>
  <c r="BF211" i="1"/>
  <c r="AV211" i="1"/>
  <c r="AP211" i="1"/>
  <c r="AO211" i="1"/>
  <c r="AH211" i="1"/>
  <c r="AG211" i="1"/>
  <c r="P211" i="1"/>
  <c r="O211" i="1"/>
  <c r="I211" i="1"/>
  <c r="H211" i="1"/>
  <c r="CY210" i="1"/>
  <c r="CV210" i="1"/>
  <c r="CU210" i="1"/>
  <c r="CO210" i="1"/>
  <c r="CN210" i="1"/>
  <c r="CH210" i="1"/>
  <c r="CG210" i="1"/>
  <c r="BV210" i="1"/>
  <c r="BU210" i="1"/>
  <c r="BN210" i="1"/>
  <c r="BG210" i="1"/>
  <c r="BF210" i="1"/>
  <c r="AV210" i="1"/>
  <c r="AP210" i="1"/>
  <c r="AO210" i="1"/>
  <c r="AH210" i="1"/>
  <c r="AG210" i="1"/>
  <c r="P210" i="1"/>
  <c r="O210" i="1"/>
  <c r="I210" i="1"/>
  <c r="H210" i="1"/>
  <c r="CY209" i="1"/>
  <c r="CV209" i="1"/>
  <c r="CU209" i="1"/>
  <c r="CO209" i="1"/>
  <c r="CN209" i="1"/>
  <c r="CH209" i="1"/>
  <c r="CG209" i="1"/>
  <c r="BV209" i="1"/>
  <c r="BU209" i="1"/>
  <c r="BN209" i="1"/>
  <c r="BG209" i="1"/>
  <c r="BF209" i="1"/>
  <c r="AV209" i="1"/>
  <c r="AP209" i="1"/>
  <c r="AO209" i="1"/>
  <c r="AH209" i="1"/>
  <c r="AG209" i="1"/>
  <c r="P209" i="1"/>
  <c r="O209" i="1"/>
  <c r="I209" i="1"/>
  <c r="H209" i="1"/>
  <c r="CY208" i="1"/>
  <c r="CV208" i="1"/>
  <c r="CU208" i="1"/>
  <c r="CO208" i="1"/>
  <c r="CN208" i="1"/>
  <c r="CH208" i="1"/>
  <c r="CG208" i="1"/>
  <c r="BV208" i="1"/>
  <c r="BU208" i="1"/>
  <c r="BN208" i="1"/>
  <c r="BG208" i="1"/>
  <c r="BF208" i="1"/>
  <c r="AV208" i="1"/>
  <c r="AP208" i="1"/>
  <c r="AO208" i="1"/>
  <c r="AH208" i="1"/>
  <c r="AG208" i="1"/>
  <c r="P208" i="1"/>
  <c r="O208" i="1"/>
  <c r="I208" i="1"/>
  <c r="H208" i="1"/>
  <c r="CY207" i="1"/>
  <c r="CV207" i="1"/>
  <c r="CU207" i="1"/>
  <c r="CO207" i="1"/>
  <c r="CN207" i="1"/>
  <c r="CH207" i="1"/>
  <c r="CG207" i="1"/>
  <c r="BV207" i="1"/>
  <c r="BU207" i="1"/>
  <c r="BN207" i="1"/>
  <c r="BG207" i="1"/>
  <c r="BF207" i="1"/>
  <c r="AV207" i="1"/>
  <c r="AP207" i="1"/>
  <c r="AO207" i="1"/>
  <c r="AH207" i="1"/>
  <c r="AG207" i="1"/>
  <c r="P207" i="1"/>
  <c r="O207" i="1"/>
  <c r="I207" i="1"/>
  <c r="H207" i="1"/>
  <c r="CY206" i="1"/>
  <c r="CV206" i="1"/>
  <c r="CU206" i="1"/>
  <c r="CO206" i="1"/>
  <c r="CN206" i="1"/>
  <c r="CH206" i="1"/>
  <c r="CG206" i="1"/>
  <c r="BV206" i="1"/>
  <c r="BU206" i="1"/>
  <c r="BN206" i="1"/>
  <c r="BG206" i="1"/>
  <c r="BF206" i="1"/>
  <c r="AV206" i="1"/>
  <c r="AP206" i="1"/>
  <c r="AO206" i="1"/>
  <c r="AH206" i="1"/>
  <c r="AG206" i="1"/>
  <c r="P206" i="1"/>
  <c r="O206" i="1"/>
  <c r="I206" i="1"/>
  <c r="H206" i="1"/>
  <c r="CY205" i="1"/>
  <c r="CV205" i="1"/>
  <c r="CU205" i="1"/>
  <c r="CO205" i="1"/>
  <c r="CN205" i="1"/>
  <c r="CH205" i="1"/>
  <c r="CG205" i="1"/>
  <c r="BV205" i="1"/>
  <c r="BU205" i="1"/>
  <c r="BN205" i="1"/>
  <c r="BG205" i="1"/>
  <c r="BF205" i="1"/>
  <c r="AV205" i="1"/>
  <c r="AP205" i="1"/>
  <c r="AO205" i="1"/>
  <c r="AH205" i="1"/>
  <c r="AG205" i="1"/>
  <c r="P205" i="1"/>
  <c r="O205" i="1"/>
  <c r="I205" i="1"/>
  <c r="H205" i="1"/>
  <c r="CY204" i="1"/>
  <c r="CV204" i="1"/>
  <c r="CU204" i="1"/>
  <c r="CO204" i="1"/>
  <c r="CN204" i="1"/>
  <c r="CH204" i="1"/>
  <c r="CG204" i="1"/>
  <c r="BV204" i="1"/>
  <c r="BU204" i="1"/>
  <c r="BN204" i="1"/>
  <c r="BG204" i="1"/>
  <c r="BF204" i="1"/>
  <c r="AV204" i="1"/>
  <c r="AP204" i="1"/>
  <c r="AO204" i="1"/>
  <c r="AH204" i="1"/>
  <c r="AG204" i="1"/>
  <c r="P204" i="1"/>
  <c r="O204" i="1"/>
  <c r="I204" i="1"/>
  <c r="H204" i="1"/>
  <c r="CY203" i="1"/>
  <c r="CV203" i="1"/>
  <c r="CU203" i="1"/>
  <c r="CO203" i="1"/>
  <c r="CN203" i="1"/>
  <c r="CH203" i="1"/>
  <c r="CG203" i="1"/>
  <c r="BV203" i="1"/>
  <c r="BU203" i="1"/>
  <c r="BN203" i="1"/>
  <c r="BG203" i="1"/>
  <c r="BF203" i="1"/>
  <c r="AV203" i="1"/>
  <c r="AP203" i="1"/>
  <c r="AO203" i="1"/>
  <c r="AH203" i="1"/>
  <c r="AG203" i="1"/>
  <c r="P203" i="1"/>
  <c r="O203" i="1"/>
  <c r="I203" i="1"/>
  <c r="H203" i="1"/>
  <c r="CY202" i="1"/>
  <c r="CV202" i="1"/>
  <c r="CU202" i="1"/>
  <c r="CO202" i="1"/>
  <c r="CN202" i="1"/>
  <c r="CH202" i="1"/>
  <c r="CG202" i="1"/>
  <c r="BV202" i="1"/>
  <c r="BU202" i="1"/>
  <c r="BN202" i="1"/>
  <c r="BG202" i="1"/>
  <c r="BF202" i="1"/>
  <c r="AV202" i="1"/>
  <c r="AP202" i="1"/>
  <c r="AO202" i="1"/>
  <c r="AH202" i="1"/>
  <c r="AG202" i="1"/>
  <c r="P202" i="1"/>
  <c r="O202" i="1"/>
  <c r="I202" i="1"/>
  <c r="H202" i="1"/>
  <c r="CY201" i="1"/>
  <c r="CV201" i="1"/>
  <c r="CU201" i="1"/>
  <c r="CO201" i="1"/>
  <c r="CN201" i="1"/>
  <c r="CH201" i="1"/>
  <c r="CG201" i="1"/>
  <c r="BV201" i="1"/>
  <c r="BU201" i="1"/>
  <c r="BN201" i="1"/>
  <c r="BG201" i="1"/>
  <c r="BF201" i="1"/>
  <c r="AV201" i="1"/>
  <c r="AP201" i="1"/>
  <c r="AO201" i="1"/>
  <c r="AH201" i="1"/>
  <c r="AG201" i="1"/>
  <c r="P201" i="1"/>
  <c r="O201" i="1"/>
  <c r="I201" i="1"/>
  <c r="H201" i="1"/>
  <c r="CY200" i="1"/>
  <c r="CV200" i="1"/>
  <c r="CU200" i="1"/>
  <c r="CO200" i="1"/>
  <c r="CN200" i="1"/>
  <c r="CH200" i="1"/>
  <c r="CG200" i="1"/>
  <c r="BV200" i="1"/>
  <c r="BU200" i="1"/>
  <c r="BN200" i="1"/>
  <c r="BG200" i="1"/>
  <c r="BF200" i="1"/>
  <c r="AV200" i="1"/>
  <c r="AP200" i="1"/>
  <c r="AO200" i="1"/>
  <c r="AH200" i="1"/>
  <c r="AG200" i="1"/>
  <c r="P200" i="1"/>
  <c r="O200" i="1"/>
  <c r="I200" i="1"/>
  <c r="H200" i="1"/>
  <c r="CY199" i="1"/>
  <c r="CV199" i="1"/>
  <c r="CU199" i="1"/>
  <c r="CO199" i="1"/>
  <c r="CN199" i="1"/>
  <c r="CH199" i="1"/>
  <c r="CG199" i="1"/>
  <c r="BV199" i="1"/>
  <c r="BU199" i="1"/>
  <c r="BN199" i="1"/>
  <c r="BG199" i="1"/>
  <c r="BF199" i="1"/>
  <c r="AV199" i="1"/>
  <c r="AP199" i="1"/>
  <c r="AO199" i="1"/>
  <c r="AH199" i="1"/>
  <c r="AG199" i="1"/>
  <c r="P199" i="1"/>
  <c r="O199" i="1"/>
  <c r="I199" i="1"/>
  <c r="H199" i="1"/>
  <c r="CY198" i="1"/>
  <c r="CV198" i="1"/>
  <c r="CU198" i="1"/>
  <c r="CO198" i="1"/>
  <c r="CN198" i="1"/>
  <c r="CH198" i="1"/>
  <c r="CG198" i="1"/>
  <c r="BV198" i="1"/>
  <c r="BU198" i="1"/>
  <c r="BN198" i="1"/>
  <c r="BG198" i="1"/>
  <c r="BF198" i="1"/>
  <c r="AV198" i="1"/>
  <c r="AP198" i="1"/>
  <c r="AO198" i="1"/>
  <c r="AH198" i="1"/>
  <c r="AG198" i="1"/>
  <c r="P198" i="1"/>
  <c r="O198" i="1"/>
  <c r="I198" i="1"/>
  <c r="H198" i="1"/>
  <c r="CY197" i="1"/>
  <c r="CV197" i="1"/>
  <c r="CU197" i="1"/>
  <c r="CO197" i="1"/>
  <c r="CN197" i="1"/>
  <c r="CH197" i="1"/>
  <c r="CG197" i="1"/>
  <c r="BV197" i="1"/>
  <c r="BU197" i="1"/>
  <c r="BN197" i="1"/>
  <c r="BG197" i="1"/>
  <c r="BF197" i="1"/>
  <c r="AV197" i="1"/>
  <c r="AP197" i="1"/>
  <c r="AO197" i="1"/>
  <c r="AH197" i="1"/>
  <c r="AG197" i="1"/>
  <c r="P197" i="1"/>
  <c r="O197" i="1"/>
  <c r="I197" i="1"/>
  <c r="H197" i="1"/>
  <c r="CY196" i="1"/>
  <c r="CV196" i="1"/>
  <c r="CU196" i="1"/>
  <c r="CO196" i="1"/>
  <c r="CN196" i="1"/>
  <c r="CH196" i="1"/>
  <c r="CG196" i="1"/>
  <c r="BV196" i="1"/>
  <c r="BU196" i="1"/>
  <c r="BN196" i="1"/>
  <c r="BG196" i="1"/>
  <c r="BF196" i="1"/>
  <c r="AV196" i="1"/>
  <c r="AP196" i="1"/>
  <c r="AO196" i="1"/>
  <c r="AH196" i="1"/>
  <c r="AG196" i="1"/>
  <c r="P196" i="1"/>
  <c r="O196" i="1"/>
  <c r="I196" i="1"/>
  <c r="H196" i="1"/>
  <c r="CY195" i="1"/>
  <c r="CV195" i="1"/>
  <c r="CU195" i="1"/>
  <c r="CO195" i="1"/>
  <c r="CN195" i="1"/>
  <c r="CH195" i="1"/>
  <c r="CG195" i="1"/>
  <c r="BV195" i="1"/>
  <c r="BU195" i="1"/>
  <c r="BN195" i="1"/>
  <c r="BG195" i="1"/>
  <c r="BF195" i="1"/>
  <c r="AV195" i="1"/>
  <c r="AP195" i="1"/>
  <c r="AO195" i="1"/>
  <c r="AH195" i="1"/>
  <c r="AG195" i="1"/>
  <c r="P195" i="1"/>
  <c r="O195" i="1"/>
  <c r="I195" i="1"/>
  <c r="H195" i="1"/>
  <c r="CY194" i="1"/>
  <c r="CV194" i="1"/>
  <c r="CU194" i="1"/>
  <c r="CO194" i="1"/>
  <c r="CN194" i="1"/>
  <c r="CH194" i="1"/>
  <c r="CG194" i="1"/>
  <c r="BV194" i="1"/>
  <c r="BU194" i="1"/>
  <c r="BN194" i="1"/>
  <c r="BG194" i="1"/>
  <c r="BF194" i="1"/>
  <c r="AV194" i="1"/>
  <c r="AP194" i="1"/>
  <c r="AO194" i="1"/>
  <c r="AH194" i="1"/>
  <c r="AG194" i="1"/>
  <c r="P194" i="1"/>
  <c r="O194" i="1"/>
  <c r="I194" i="1"/>
  <c r="H194" i="1"/>
  <c r="CY193" i="1"/>
  <c r="CV193" i="1"/>
  <c r="CU193" i="1"/>
  <c r="CO193" i="1"/>
  <c r="CN193" i="1"/>
  <c r="CH193" i="1"/>
  <c r="CG193" i="1"/>
  <c r="BV193" i="1"/>
  <c r="BU193" i="1"/>
  <c r="BN193" i="1"/>
  <c r="BG193" i="1"/>
  <c r="BF193" i="1"/>
  <c r="AV193" i="1"/>
  <c r="AP193" i="1"/>
  <c r="AO193" i="1"/>
  <c r="AH193" i="1"/>
  <c r="AG193" i="1"/>
  <c r="P193" i="1"/>
  <c r="O193" i="1"/>
  <c r="I193" i="1"/>
  <c r="H193" i="1"/>
  <c r="CY192" i="1"/>
  <c r="CV192" i="1"/>
  <c r="CU192" i="1"/>
  <c r="CO192" i="1"/>
  <c r="CN192" i="1"/>
  <c r="CH192" i="1"/>
  <c r="CG192" i="1"/>
  <c r="BV192" i="1"/>
  <c r="BU192" i="1"/>
  <c r="BN192" i="1"/>
  <c r="BG192" i="1"/>
  <c r="BF192" i="1"/>
  <c r="AV192" i="1"/>
  <c r="AP192" i="1"/>
  <c r="AO192" i="1"/>
  <c r="AH192" i="1"/>
  <c r="AG192" i="1"/>
  <c r="P192" i="1"/>
  <c r="O192" i="1"/>
  <c r="I192" i="1"/>
  <c r="H192" i="1"/>
  <c r="CY191" i="1"/>
  <c r="CV191" i="1"/>
  <c r="CU191" i="1"/>
  <c r="CO191" i="1"/>
  <c r="CN191" i="1"/>
  <c r="CH191" i="1"/>
  <c r="CG191" i="1"/>
  <c r="BV191" i="1"/>
  <c r="BU191" i="1"/>
  <c r="BN191" i="1"/>
  <c r="BG191" i="1"/>
  <c r="BF191" i="1"/>
  <c r="AV191" i="1"/>
  <c r="AP191" i="1"/>
  <c r="AO191" i="1"/>
  <c r="AH191" i="1"/>
  <c r="AG191" i="1"/>
  <c r="P191" i="1"/>
  <c r="O191" i="1"/>
  <c r="I191" i="1"/>
  <c r="H191" i="1"/>
  <c r="CY190" i="1"/>
  <c r="CV190" i="1"/>
  <c r="CU190" i="1"/>
  <c r="CO190" i="1"/>
  <c r="CN190" i="1"/>
  <c r="CH190" i="1"/>
  <c r="CG190" i="1"/>
  <c r="BV190" i="1"/>
  <c r="BU190" i="1"/>
  <c r="BN190" i="1"/>
  <c r="BG190" i="1"/>
  <c r="BF190" i="1"/>
  <c r="AV190" i="1"/>
  <c r="AP190" i="1"/>
  <c r="AO190" i="1"/>
  <c r="AH190" i="1"/>
  <c r="AG190" i="1"/>
  <c r="P190" i="1"/>
  <c r="O190" i="1"/>
  <c r="I190" i="1"/>
  <c r="H190" i="1"/>
  <c r="CY189" i="1"/>
  <c r="CV189" i="1"/>
  <c r="CU189" i="1"/>
  <c r="CO189" i="1"/>
  <c r="CN189" i="1"/>
  <c r="CH189" i="1"/>
  <c r="CG189" i="1"/>
  <c r="BV189" i="1"/>
  <c r="BU189" i="1"/>
  <c r="BN189" i="1"/>
  <c r="BG189" i="1"/>
  <c r="BF189" i="1"/>
  <c r="AV189" i="1"/>
  <c r="AP189" i="1"/>
  <c r="AO189" i="1"/>
  <c r="AH189" i="1"/>
  <c r="AG189" i="1"/>
  <c r="P189" i="1"/>
  <c r="O189" i="1"/>
  <c r="I189" i="1"/>
  <c r="H189" i="1"/>
  <c r="CY188" i="1"/>
  <c r="CV188" i="1"/>
  <c r="CU188" i="1"/>
  <c r="CO188" i="1"/>
  <c r="CN188" i="1"/>
  <c r="CH188" i="1"/>
  <c r="CG188" i="1"/>
  <c r="BV188" i="1"/>
  <c r="BU188" i="1"/>
  <c r="BN188" i="1"/>
  <c r="BG188" i="1"/>
  <c r="BF188" i="1"/>
  <c r="AV188" i="1"/>
  <c r="AP188" i="1"/>
  <c r="AO188" i="1"/>
  <c r="AH188" i="1"/>
  <c r="AG188" i="1"/>
  <c r="P188" i="1"/>
  <c r="O188" i="1"/>
  <c r="I188" i="1"/>
  <c r="H188" i="1"/>
  <c r="CY187" i="1"/>
  <c r="CV187" i="1"/>
  <c r="CU187" i="1"/>
  <c r="CO187" i="1"/>
  <c r="CN187" i="1"/>
  <c r="CH187" i="1"/>
  <c r="CG187" i="1"/>
  <c r="BV187" i="1"/>
  <c r="BU187" i="1"/>
  <c r="BN187" i="1"/>
  <c r="BG187" i="1"/>
  <c r="BF187" i="1"/>
  <c r="AV187" i="1"/>
  <c r="AP187" i="1"/>
  <c r="AO187" i="1"/>
  <c r="AH187" i="1"/>
  <c r="AG187" i="1"/>
  <c r="P187" i="1"/>
  <c r="O187" i="1"/>
  <c r="I187" i="1"/>
  <c r="H187" i="1"/>
  <c r="CY186" i="1"/>
  <c r="CV186" i="1"/>
  <c r="CU186" i="1"/>
  <c r="CO186" i="1"/>
  <c r="CN186" i="1"/>
  <c r="CH186" i="1"/>
  <c r="CG186" i="1"/>
  <c r="BV186" i="1"/>
  <c r="BU186" i="1"/>
  <c r="BN186" i="1"/>
  <c r="BG186" i="1"/>
  <c r="BF186" i="1"/>
  <c r="AV186" i="1"/>
  <c r="AP186" i="1"/>
  <c r="AO186" i="1"/>
  <c r="AH186" i="1"/>
  <c r="AG186" i="1"/>
  <c r="P186" i="1"/>
  <c r="O186" i="1"/>
  <c r="I186" i="1"/>
  <c r="H186" i="1"/>
  <c r="CY185" i="1"/>
  <c r="CV185" i="1"/>
  <c r="CU185" i="1"/>
  <c r="CO185" i="1"/>
  <c r="CN185" i="1"/>
  <c r="CH185" i="1"/>
  <c r="CG185" i="1"/>
  <c r="BV185" i="1"/>
  <c r="BU185" i="1"/>
  <c r="BN185" i="1"/>
  <c r="BG185" i="1"/>
  <c r="BF185" i="1"/>
  <c r="AV185" i="1"/>
  <c r="AP185" i="1"/>
  <c r="AO185" i="1"/>
  <c r="AH185" i="1"/>
  <c r="AG185" i="1"/>
  <c r="P185" i="1"/>
  <c r="O185" i="1"/>
  <c r="I185" i="1"/>
  <c r="H185" i="1"/>
  <c r="CY184" i="1"/>
  <c r="CV184" i="1"/>
  <c r="CU184" i="1"/>
  <c r="CO184" i="1"/>
  <c r="CN184" i="1"/>
  <c r="CH184" i="1"/>
  <c r="CG184" i="1"/>
  <c r="BV184" i="1"/>
  <c r="BU184" i="1"/>
  <c r="BN184" i="1"/>
  <c r="BG184" i="1"/>
  <c r="BF184" i="1"/>
  <c r="AV184" i="1"/>
  <c r="AP184" i="1"/>
  <c r="AO184" i="1"/>
  <c r="AH184" i="1"/>
  <c r="AG184" i="1"/>
  <c r="P184" i="1"/>
  <c r="O184" i="1"/>
  <c r="I184" i="1"/>
  <c r="H184" i="1"/>
  <c r="CY183" i="1"/>
  <c r="CV183" i="1"/>
  <c r="CU183" i="1"/>
  <c r="CO183" i="1"/>
  <c r="CN183" i="1"/>
  <c r="CH183" i="1"/>
  <c r="CG183" i="1"/>
  <c r="BV183" i="1"/>
  <c r="BU183" i="1"/>
  <c r="BN183" i="1"/>
  <c r="BG183" i="1"/>
  <c r="BF183" i="1"/>
  <c r="AV183" i="1"/>
  <c r="AP183" i="1"/>
  <c r="AO183" i="1"/>
  <c r="AH183" i="1"/>
  <c r="AG183" i="1"/>
  <c r="P183" i="1"/>
  <c r="O183" i="1"/>
  <c r="I183" i="1"/>
  <c r="H183" i="1"/>
  <c r="CY182" i="1"/>
  <c r="CV182" i="1"/>
  <c r="CU182" i="1"/>
  <c r="CO182" i="1"/>
  <c r="CN182" i="1"/>
  <c r="CH182" i="1"/>
  <c r="CG182" i="1"/>
  <c r="BV182" i="1"/>
  <c r="BU182" i="1"/>
  <c r="BN182" i="1"/>
  <c r="BG182" i="1"/>
  <c r="BF182" i="1"/>
  <c r="AV182" i="1"/>
  <c r="AP182" i="1"/>
  <c r="AO182" i="1"/>
  <c r="AH182" i="1"/>
  <c r="AG182" i="1"/>
  <c r="P182" i="1"/>
  <c r="O182" i="1"/>
  <c r="I182" i="1"/>
  <c r="H182" i="1"/>
  <c r="CY181" i="1"/>
  <c r="CV181" i="1"/>
  <c r="CU181" i="1"/>
  <c r="CO181" i="1"/>
  <c r="CN181" i="1"/>
  <c r="CH181" i="1"/>
  <c r="CG181" i="1"/>
  <c r="BV181" i="1"/>
  <c r="BU181" i="1"/>
  <c r="BN181" i="1"/>
  <c r="BG181" i="1"/>
  <c r="BF181" i="1"/>
  <c r="AV181" i="1"/>
  <c r="AP181" i="1"/>
  <c r="AO181" i="1"/>
  <c r="AH181" i="1"/>
  <c r="AG181" i="1"/>
  <c r="P181" i="1"/>
  <c r="O181" i="1"/>
  <c r="I181" i="1"/>
  <c r="H181" i="1"/>
  <c r="CY180" i="1"/>
  <c r="CV180" i="1"/>
  <c r="CU180" i="1"/>
  <c r="CO180" i="1"/>
  <c r="CN180" i="1"/>
  <c r="CH180" i="1"/>
  <c r="CG180" i="1"/>
  <c r="BV180" i="1"/>
  <c r="BU180" i="1"/>
  <c r="BN180" i="1"/>
  <c r="BG180" i="1"/>
  <c r="BF180" i="1"/>
  <c r="AV180" i="1"/>
  <c r="AP180" i="1"/>
  <c r="AO180" i="1"/>
  <c r="AH180" i="1"/>
  <c r="AG180" i="1"/>
  <c r="P180" i="1"/>
  <c r="O180" i="1"/>
  <c r="I180" i="1"/>
  <c r="H180" i="1"/>
  <c r="CY179" i="1"/>
  <c r="CV179" i="1"/>
  <c r="CU179" i="1"/>
  <c r="CO179" i="1"/>
  <c r="CN179" i="1"/>
  <c r="CH179" i="1"/>
  <c r="CG179" i="1"/>
  <c r="BV179" i="1"/>
  <c r="BU179" i="1"/>
  <c r="BN179" i="1"/>
  <c r="BG179" i="1"/>
  <c r="BF179" i="1"/>
  <c r="AV179" i="1"/>
  <c r="AP179" i="1"/>
  <c r="AO179" i="1"/>
  <c r="AH179" i="1"/>
  <c r="AG179" i="1"/>
  <c r="P179" i="1"/>
  <c r="O179" i="1"/>
  <c r="I179" i="1"/>
  <c r="H179" i="1"/>
  <c r="CY178" i="1"/>
  <c r="CV178" i="1"/>
  <c r="CU178" i="1"/>
  <c r="CO178" i="1"/>
  <c r="CN178" i="1"/>
  <c r="CH178" i="1"/>
  <c r="CG178" i="1"/>
  <c r="BV178" i="1"/>
  <c r="BU178" i="1"/>
  <c r="BN178" i="1"/>
  <c r="BG178" i="1"/>
  <c r="BF178" i="1"/>
  <c r="AV178" i="1"/>
  <c r="AP178" i="1"/>
  <c r="AO178" i="1"/>
  <c r="AH178" i="1"/>
  <c r="AG178" i="1"/>
  <c r="P178" i="1"/>
  <c r="O178" i="1"/>
  <c r="I178" i="1"/>
  <c r="H178" i="1"/>
  <c r="CY177" i="1"/>
  <c r="CV177" i="1"/>
  <c r="CU177" i="1"/>
  <c r="CO177" i="1"/>
  <c r="CN177" i="1"/>
  <c r="CH177" i="1"/>
  <c r="CG177" i="1"/>
  <c r="BV177" i="1"/>
  <c r="BU177" i="1"/>
  <c r="BN177" i="1"/>
  <c r="BG177" i="1"/>
  <c r="BF177" i="1"/>
  <c r="AV177" i="1"/>
  <c r="AP177" i="1"/>
  <c r="AO177" i="1"/>
  <c r="AH177" i="1"/>
  <c r="AG177" i="1"/>
  <c r="P177" i="1"/>
  <c r="O177" i="1"/>
  <c r="I177" i="1"/>
  <c r="H177" i="1"/>
  <c r="CY176" i="1"/>
  <c r="CV176" i="1"/>
  <c r="CU176" i="1"/>
  <c r="CO176" i="1"/>
  <c r="CN176" i="1"/>
  <c r="CH176" i="1"/>
  <c r="CG176" i="1"/>
  <c r="BV176" i="1"/>
  <c r="BU176" i="1"/>
  <c r="BN176" i="1"/>
  <c r="BG176" i="1"/>
  <c r="BF176" i="1"/>
  <c r="AV176" i="1"/>
  <c r="AP176" i="1"/>
  <c r="AO176" i="1"/>
  <c r="AH176" i="1"/>
  <c r="AG176" i="1"/>
  <c r="P176" i="1"/>
  <c r="O176" i="1"/>
  <c r="I176" i="1"/>
  <c r="H176" i="1"/>
  <c r="CY175" i="1"/>
  <c r="CV175" i="1"/>
  <c r="CU175" i="1"/>
  <c r="CO175" i="1"/>
  <c r="CN175" i="1"/>
  <c r="CH175" i="1"/>
  <c r="CG175" i="1"/>
  <c r="BV175" i="1"/>
  <c r="BU175" i="1"/>
  <c r="BN175" i="1"/>
  <c r="BG175" i="1"/>
  <c r="BF175" i="1"/>
  <c r="AV175" i="1"/>
  <c r="AP175" i="1"/>
  <c r="AO175" i="1"/>
  <c r="AH175" i="1"/>
  <c r="AG175" i="1"/>
  <c r="P175" i="1"/>
  <c r="O175" i="1"/>
  <c r="I175" i="1"/>
  <c r="H175" i="1"/>
  <c r="CY174" i="1"/>
  <c r="CV174" i="1"/>
  <c r="CU174" i="1"/>
  <c r="CO174" i="1"/>
  <c r="CN174" i="1"/>
  <c r="CH174" i="1"/>
  <c r="CG174" i="1"/>
  <c r="BV174" i="1"/>
  <c r="BU174" i="1"/>
  <c r="BN174" i="1"/>
  <c r="BG174" i="1"/>
  <c r="BF174" i="1"/>
  <c r="AV174" i="1"/>
  <c r="AP174" i="1"/>
  <c r="AO174" i="1"/>
  <c r="AH174" i="1"/>
  <c r="AG174" i="1"/>
  <c r="P174" i="1"/>
  <c r="O174" i="1"/>
  <c r="I174" i="1"/>
  <c r="H174" i="1"/>
  <c r="CY172" i="1"/>
  <c r="CV172" i="1"/>
  <c r="CU172" i="1"/>
  <c r="CO172" i="1"/>
  <c r="CN172" i="1"/>
  <c r="CH172" i="1"/>
  <c r="CG172" i="1"/>
  <c r="BV172" i="1"/>
  <c r="BU172" i="1"/>
  <c r="BN172" i="1"/>
  <c r="BG172" i="1"/>
  <c r="BF172" i="1"/>
  <c r="AV172" i="1"/>
  <c r="AP172" i="1"/>
  <c r="AO172" i="1"/>
  <c r="AH172" i="1"/>
  <c r="AG172" i="1"/>
  <c r="P172" i="1"/>
  <c r="O172" i="1"/>
  <c r="I172" i="1"/>
  <c r="H172" i="1"/>
  <c r="CY171" i="1"/>
  <c r="CV171" i="1"/>
  <c r="CU171" i="1"/>
  <c r="CO171" i="1"/>
  <c r="CN171" i="1"/>
  <c r="CH171" i="1"/>
  <c r="CG171" i="1"/>
  <c r="BV171" i="1"/>
  <c r="BU171" i="1"/>
  <c r="BN171" i="1"/>
  <c r="BG171" i="1"/>
  <c r="BF171" i="1"/>
  <c r="AV171" i="1"/>
  <c r="AP171" i="1"/>
  <c r="AO171" i="1"/>
  <c r="AH171" i="1"/>
  <c r="AG171" i="1"/>
  <c r="P171" i="1"/>
  <c r="O171" i="1"/>
  <c r="I171" i="1"/>
  <c r="H171" i="1"/>
  <c r="CY170" i="1"/>
  <c r="CV170" i="1"/>
  <c r="CU170" i="1"/>
  <c r="CO170" i="1"/>
  <c r="CN170" i="1"/>
  <c r="CH170" i="1"/>
  <c r="CG170" i="1"/>
  <c r="BV170" i="1"/>
  <c r="BU170" i="1"/>
  <c r="BN170" i="1"/>
  <c r="BG170" i="1"/>
  <c r="BF170" i="1"/>
  <c r="AV170" i="1"/>
  <c r="AP170" i="1"/>
  <c r="AO170" i="1"/>
  <c r="AH170" i="1"/>
  <c r="AG170" i="1"/>
  <c r="P170" i="1"/>
  <c r="O170" i="1"/>
  <c r="I170" i="1"/>
  <c r="H170" i="1"/>
  <c r="CY169" i="1"/>
  <c r="CV169" i="1"/>
  <c r="CU169" i="1"/>
  <c r="CO169" i="1"/>
  <c r="CN169" i="1"/>
  <c r="CH169" i="1"/>
  <c r="CG169" i="1"/>
  <c r="BV169" i="1"/>
  <c r="BU169" i="1"/>
  <c r="BN169" i="1"/>
  <c r="BG169" i="1"/>
  <c r="BF169" i="1"/>
  <c r="AV169" i="1"/>
  <c r="AP169" i="1"/>
  <c r="AO169" i="1"/>
  <c r="AH169" i="1"/>
  <c r="AG169" i="1"/>
  <c r="P169" i="1"/>
  <c r="O169" i="1"/>
  <c r="I169" i="1"/>
  <c r="H169" i="1"/>
  <c r="CY168" i="1"/>
  <c r="CV168" i="1"/>
  <c r="CU168" i="1"/>
  <c r="CO168" i="1"/>
  <c r="CN168" i="1"/>
  <c r="CH168" i="1"/>
  <c r="CG168" i="1"/>
  <c r="BV168" i="1"/>
  <c r="BU168" i="1"/>
  <c r="BN168" i="1"/>
  <c r="BG168" i="1"/>
  <c r="BF168" i="1"/>
  <c r="AV168" i="1"/>
  <c r="AP168" i="1"/>
  <c r="AO168" i="1"/>
  <c r="AH168" i="1"/>
  <c r="AG168" i="1"/>
  <c r="P168" i="1"/>
  <c r="O168" i="1"/>
  <c r="I168" i="1"/>
  <c r="H168" i="1"/>
  <c r="CY167" i="1"/>
  <c r="CV167" i="1"/>
  <c r="CU167" i="1"/>
  <c r="CO167" i="1"/>
  <c r="CN167" i="1"/>
  <c r="CH167" i="1"/>
  <c r="CG167" i="1"/>
  <c r="BV167" i="1"/>
  <c r="BU167" i="1"/>
  <c r="BN167" i="1"/>
  <c r="BG167" i="1"/>
  <c r="BF167" i="1"/>
  <c r="AV167" i="1"/>
  <c r="AP167" i="1"/>
  <c r="AO167" i="1"/>
  <c r="AH167" i="1"/>
  <c r="AG167" i="1"/>
  <c r="P167" i="1"/>
  <c r="O167" i="1"/>
  <c r="I167" i="1"/>
  <c r="H167" i="1"/>
  <c r="CY166" i="1"/>
  <c r="CV166" i="1"/>
  <c r="CU166" i="1"/>
  <c r="CO166" i="1"/>
  <c r="CN166" i="1"/>
  <c r="CH166" i="1"/>
  <c r="CG166" i="1"/>
  <c r="BV166" i="1"/>
  <c r="BU166" i="1"/>
  <c r="BN166" i="1"/>
  <c r="BG166" i="1"/>
  <c r="BF166" i="1"/>
  <c r="AV166" i="1"/>
  <c r="AP166" i="1"/>
  <c r="AO166" i="1"/>
  <c r="AH166" i="1"/>
  <c r="AG166" i="1"/>
  <c r="P166" i="1"/>
  <c r="O166" i="1"/>
  <c r="I166" i="1"/>
  <c r="H166" i="1"/>
  <c r="CY165" i="1"/>
  <c r="CV165" i="1"/>
  <c r="CU165" i="1"/>
  <c r="CO165" i="1"/>
  <c r="CN165" i="1"/>
  <c r="CH165" i="1"/>
  <c r="CG165" i="1"/>
  <c r="BV165" i="1"/>
  <c r="BU165" i="1"/>
  <c r="BN165" i="1"/>
  <c r="BG165" i="1"/>
  <c r="BF165" i="1"/>
  <c r="AV165" i="1"/>
  <c r="AP165" i="1"/>
  <c r="AO165" i="1"/>
  <c r="AH165" i="1"/>
  <c r="AG165" i="1"/>
  <c r="P165" i="1"/>
  <c r="O165" i="1"/>
  <c r="I165" i="1"/>
  <c r="H165" i="1"/>
  <c r="CY164" i="1"/>
  <c r="CV164" i="1"/>
  <c r="CU164" i="1"/>
  <c r="CO164" i="1"/>
  <c r="CN164" i="1"/>
  <c r="CH164" i="1"/>
  <c r="CG164" i="1"/>
  <c r="BV164" i="1"/>
  <c r="BU164" i="1"/>
  <c r="BN164" i="1"/>
  <c r="BG164" i="1"/>
  <c r="BF164" i="1"/>
  <c r="AV164" i="1"/>
  <c r="AP164" i="1"/>
  <c r="AO164" i="1"/>
  <c r="AH164" i="1"/>
  <c r="AG164" i="1"/>
  <c r="P164" i="1"/>
  <c r="O164" i="1"/>
  <c r="I164" i="1"/>
  <c r="H164" i="1"/>
  <c r="CY163" i="1"/>
  <c r="CV163" i="1"/>
  <c r="CU163" i="1"/>
  <c r="CO163" i="1"/>
  <c r="CN163" i="1"/>
  <c r="CH163" i="1"/>
  <c r="CG163" i="1"/>
  <c r="BV163" i="1"/>
  <c r="BU163" i="1"/>
  <c r="BN163" i="1"/>
  <c r="BG163" i="1"/>
  <c r="BF163" i="1"/>
  <c r="AV163" i="1"/>
  <c r="AP163" i="1"/>
  <c r="AO163" i="1"/>
  <c r="AH163" i="1"/>
  <c r="AG163" i="1"/>
  <c r="P163" i="1"/>
  <c r="O163" i="1"/>
  <c r="I163" i="1"/>
  <c r="H163" i="1"/>
  <c r="CY162" i="1"/>
  <c r="CV162" i="1"/>
  <c r="CU162" i="1"/>
  <c r="CO162" i="1"/>
  <c r="CN162" i="1"/>
  <c r="CH162" i="1"/>
  <c r="CG162" i="1"/>
  <c r="BV162" i="1"/>
  <c r="BU162" i="1"/>
  <c r="BN162" i="1"/>
  <c r="BG162" i="1"/>
  <c r="BF162" i="1"/>
  <c r="AV162" i="1"/>
  <c r="AP162" i="1"/>
  <c r="AO162" i="1"/>
  <c r="AH162" i="1"/>
  <c r="AG162" i="1"/>
  <c r="P162" i="1"/>
  <c r="O162" i="1"/>
  <c r="I162" i="1"/>
  <c r="H162" i="1"/>
  <c r="CY161" i="1"/>
  <c r="CV161" i="1"/>
  <c r="CU161" i="1"/>
  <c r="CO161" i="1"/>
  <c r="CN161" i="1"/>
  <c r="CH161" i="1"/>
  <c r="CG161" i="1"/>
  <c r="BV161" i="1"/>
  <c r="BU161" i="1"/>
  <c r="BN161" i="1"/>
  <c r="BG161" i="1"/>
  <c r="BF161" i="1"/>
  <c r="AV161" i="1"/>
  <c r="AP161" i="1"/>
  <c r="AO161" i="1"/>
  <c r="AH161" i="1"/>
  <c r="AG161" i="1"/>
  <c r="P161" i="1"/>
  <c r="O161" i="1"/>
  <c r="I161" i="1"/>
  <c r="H161" i="1"/>
  <c r="CY160" i="1"/>
  <c r="CV160" i="1"/>
  <c r="CU160" i="1"/>
  <c r="CO160" i="1"/>
  <c r="CN160" i="1"/>
  <c r="CH160" i="1"/>
  <c r="CG160" i="1"/>
  <c r="BV160" i="1"/>
  <c r="BU160" i="1"/>
  <c r="BN160" i="1"/>
  <c r="BG160" i="1"/>
  <c r="BF160" i="1"/>
  <c r="AV160" i="1"/>
  <c r="AP160" i="1"/>
  <c r="AO160" i="1"/>
  <c r="AH160" i="1"/>
  <c r="AG160" i="1"/>
  <c r="P160" i="1"/>
  <c r="O160" i="1"/>
  <c r="I160" i="1"/>
  <c r="H160" i="1"/>
  <c r="CY159" i="1"/>
  <c r="CV159" i="1"/>
  <c r="CU159" i="1"/>
  <c r="CO159" i="1"/>
  <c r="CN159" i="1"/>
  <c r="CH159" i="1"/>
  <c r="CG159" i="1"/>
  <c r="BV159" i="1"/>
  <c r="BU159" i="1"/>
  <c r="BN159" i="1"/>
  <c r="BG159" i="1"/>
  <c r="BF159" i="1"/>
  <c r="AV159" i="1"/>
  <c r="AP159" i="1"/>
  <c r="AO159" i="1"/>
  <c r="AH159" i="1"/>
  <c r="AG159" i="1"/>
  <c r="P159" i="1"/>
  <c r="O159" i="1"/>
  <c r="I159" i="1"/>
  <c r="H159" i="1"/>
  <c r="CY158" i="1"/>
  <c r="CV158" i="1"/>
  <c r="CU158" i="1"/>
  <c r="CO158" i="1"/>
  <c r="CN158" i="1"/>
  <c r="CH158" i="1"/>
  <c r="CG158" i="1"/>
  <c r="BV158" i="1"/>
  <c r="BU158" i="1"/>
  <c r="BN158" i="1"/>
  <c r="BG158" i="1"/>
  <c r="BF158" i="1"/>
  <c r="AV158" i="1"/>
  <c r="AP158" i="1"/>
  <c r="AO158" i="1"/>
  <c r="AH158" i="1"/>
  <c r="AG158" i="1"/>
  <c r="P158" i="1"/>
  <c r="O158" i="1"/>
  <c r="I158" i="1"/>
  <c r="H158" i="1"/>
  <c r="CY157" i="1"/>
  <c r="CV157" i="1"/>
  <c r="CU157" i="1"/>
  <c r="CO157" i="1"/>
  <c r="CN157" i="1"/>
  <c r="CH157" i="1"/>
  <c r="CG157" i="1"/>
  <c r="BV157" i="1"/>
  <c r="BU157" i="1"/>
  <c r="BN157" i="1"/>
  <c r="BG157" i="1"/>
  <c r="BF157" i="1"/>
  <c r="AV157" i="1"/>
  <c r="AP157" i="1"/>
  <c r="AO157" i="1"/>
  <c r="AH157" i="1"/>
  <c r="AG157" i="1"/>
  <c r="P157" i="1"/>
  <c r="O157" i="1"/>
  <c r="I157" i="1"/>
  <c r="H157" i="1"/>
  <c r="CY156" i="1"/>
  <c r="CV156" i="1"/>
  <c r="CU156" i="1"/>
  <c r="CO156" i="1"/>
  <c r="CN156" i="1"/>
  <c r="CH156" i="1"/>
  <c r="CG156" i="1"/>
  <c r="BV156" i="1"/>
  <c r="BU156" i="1"/>
  <c r="BN156" i="1"/>
  <c r="BG156" i="1"/>
  <c r="BF156" i="1"/>
  <c r="AV156" i="1"/>
  <c r="AP156" i="1"/>
  <c r="AO156" i="1"/>
  <c r="AH156" i="1"/>
  <c r="AG156" i="1"/>
  <c r="P156" i="1"/>
  <c r="O156" i="1"/>
  <c r="I156" i="1"/>
  <c r="H156" i="1"/>
  <c r="CY155" i="1"/>
  <c r="CV155" i="1"/>
  <c r="CU155" i="1"/>
  <c r="CO155" i="1"/>
  <c r="CN155" i="1"/>
  <c r="CH155" i="1"/>
  <c r="CG155" i="1"/>
  <c r="BV155" i="1"/>
  <c r="BU155" i="1"/>
  <c r="BN155" i="1"/>
  <c r="BG155" i="1"/>
  <c r="BF155" i="1"/>
  <c r="AV155" i="1"/>
  <c r="AP155" i="1"/>
  <c r="AO155" i="1"/>
  <c r="AH155" i="1"/>
  <c r="AG155" i="1"/>
  <c r="P155" i="1"/>
  <c r="O155" i="1"/>
  <c r="I155" i="1"/>
  <c r="H155" i="1"/>
  <c r="CY154" i="1"/>
  <c r="CV154" i="1"/>
  <c r="CU154" i="1"/>
  <c r="CO154" i="1"/>
  <c r="CN154" i="1"/>
  <c r="CH154" i="1"/>
  <c r="CG154" i="1"/>
  <c r="BV154" i="1"/>
  <c r="BU154" i="1"/>
  <c r="BN154" i="1"/>
  <c r="BG154" i="1"/>
  <c r="BF154" i="1"/>
  <c r="AV154" i="1"/>
  <c r="AP154" i="1"/>
  <c r="AO154" i="1"/>
  <c r="AH154" i="1"/>
  <c r="AG154" i="1"/>
  <c r="P154" i="1"/>
  <c r="O154" i="1"/>
  <c r="I154" i="1"/>
  <c r="H154" i="1"/>
  <c r="CY153" i="1"/>
  <c r="CV153" i="1"/>
  <c r="CU153" i="1"/>
  <c r="CO153" i="1"/>
  <c r="CN153" i="1"/>
  <c r="CH153" i="1"/>
  <c r="CG153" i="1"/>
  <c r="BV153" i="1"/>
  <c r="BU153" i="1"/>
  <c r="BN153" i="1"/>
  <c r="BG153" i="1"/>
  <c r="BF153" i="1"/>
  <c r="AV153" i="1"/>
  <c r="AP153" i="1"/>
  <c r="AO153" i="1"/>
  <c r="AH153" i="1"/>
  <c r="AG153" i="1"/>
  <c r="P153" i="1"/>
  <c r="O153" i="1"/>
  <c r="I153" i="1"/>
  <c r="H153" i="1"/>
  <c r="CY152" i="1"/>
  <c r="CV152" i="1"/>
  <c r="CU152" i="1"/>
  <c r="CO152" i="1"/>
  <c r="CN152" i="1"/>
  <c r="CH152" i="1"/>
  <c r="CG152" i="1"/>
  <c r="BV152" i="1"/>
  <c r="BU152" i="1"/>
  <c r="BN152" i="1"/>
  <c r="BG152" i="1"/>
  <c r="BF152" i="1"/>
  <c r="AV152" i="1"/>
  <c r="AP152" i="1"/>
  <c r="AO152" i="1"/>
  <c r="AH152" i="1"/>
  <c r="AG152" i="1"/>
  <c r="P152" i="1"/>
  <c r="O152" i="1"/>
  <c r="I152" i="1"/>
  <c r="H152" i="1"/>
  <c r="CY151" i="1"/>
  <c r="CV151" i="1"/>
  <c r="CU151" i="1"/>
  <c r="CO151" i="1"/>
  <c r="CN151" i="1"/>
  <c r="CH151" i="1"/>
  <c r="CG151" i="1"/>
  <c r="BV151" i="1"/>
  <c r="BU151" i="1"/>
  <c r="BN151" i="1"/>
  <c r="BG151" i="1"/>
  <c r="BF151" i="1"/>
  <c r="AV151" i="1"/>
  <c r="AP151" i="1"/>
  <c r="AO151" i="1"/>
  <c r="AH151" i="1"/>
  <c r="AG151" i="1"/>
  <c r="P151" i="1"/>
  <c r="O151" i="1"/>
  <c r="I151" i="1"/>
  <c r="H151" i="1"/>
  <c r="CY150" i="1"/>
  <c r="CV150" i="1"/>
  <c r="CU150" i="1"/>
  <c r="CO150" i="1"/>
  <c r="CN150" i="1"/>
  <c r="CH150" i="1"/>
  <c r="CG150" i="1"/>
  <c r="BV150" i="1"/>
  <c r="BU150" i="1"/>
  <c r="BN150" i="1"/>
  <c r="BG150" i="1"/>
  <c r="BF150" i="1"/>
  <c r="AV150" i="1"/>
  <c r="AP150" i="1"/>
  <c r="AO150" i="1"/>
  <c r="AH150" i="1"/>
  <c r="AG150" i="1"/>
  <c r="P150" i="1"/>
  <c r="O150" i="1"/>
  <c r="I150" i="1"/>
  <c r="H150" i="1"/>
  <c r="CY149" i="1"/>
  <c r="CV149" i="1"/>
  <c r="CU149" i="1"/>
  <c r="CO149" i="1"/>
  <c r="CN149" i="1"/>
  <c r="CH149" i="1"/>
  <c r="CG149" i="1"/>
  <c r="BV149" i="1"/>
  <c r="BU149" i="1"/>
  <c r="BN149" i="1"/>
  <c r="BG149" i="1"/>
  <c r="BF149" i="1"/>
  <c r="AV149" i="1"/>
  <c r="AP149" i="1"/>
  <c r="AO149" i="1"/>
  <c r="AH149" i="1"/>
  <c r="AG149" i="1"/>
  <c r="P149" i="1"/>
  <c r="O149" i="1"/>
  <c r="I149" i="1"/>
  <c r="H149" i="1"/>
  <c r="CY148" i="1"/>
  <c r="CV148" i="1"/>
  <c r="CU148" i="1"/>
  <c r="CO148" i="1"/>
  <c r="CN148" i="1"/>
  <c r="CH148" i="1"/>
  <c r="CG148" i="1"/>
  <c r="BV148" i="1"/>
  <c r="BU148" i="1"/>
  <c r="BN148" i="1"/>
  <c r="BG148" i="1"/>
  <c r="BF148" i="1"/>
  <c r="AV148" i="1"/>
  <c r="AP148" i="1"/>
  <c r="AO148" i="1"/>
  <c r="AH148" i="1"/>
  <c r="AG148" i="1"/>
  <c r="P148" i="1"/>
  <c r="O148" i="1"/>
  <c r="I148" i="1"/>
  <c r="H148" i="1"/>
  <c r="CY147" i="1"/>
  <c r="CV147" i="1"/>
  <c r="CU147" i="1"/>
  <c r="CO147" i="1"/>
  <c r="CN147" i="1"/>
  <c r="CH147" i="1"/>
  <c r="CG147" i="1"/>
  <c r="BV147" i="1"/>
  <c r="BU147" i="1"/>
  <c r="BN147" i="1"/>
  <c r="BG147" i="1"/>
  <c r="BF147" i="1"/>
  <c r="AV147" i="1"/>
  <c r="AP147" i="1"/>
  <c r="AO147" i="1"/>
  <c r="AH147" i="1"/>
  <c r="AG147" i="1"/>
  <c r="P147" i="1"/>
  <c r="O147" i="1"/>
  <c r="I147" i="1"/>
  <c r="H147" i="1"/>
  <c r="CY146" i="1"/>
  <c r="CV146" i="1"/>
  <c r="CU146" i="1"/>
  <c r="CO146" i="1"/>
  <c r="CN146" i="1"/>
  <c r="CH146" i="1"/>
  <c r="CG146" i="1"/>
  <c r="BV146" i="1"/>
  <c r="BU146" i="1"/>
  <c r="BN146" i="1"/>
  <c r="BG146" i="1"/>
  <c r="BF146" i="1"/>
  <c r="AV146" i="1"/>
  <c r="AP146" i="1"/>
  <c r="AO146" i="1"/>
  <c r="AH146" i="1"/>
  <c r="AG146" i="1"/>
  <c r="P146" i="1"/>
  <c r="O146" i="1"/>
  <c r="I146" i="1"/>
  <c r="H146" i="1"/>
  <c r="CY145" i="1"/>
  <c r="CV145" i="1"/>
  <c r="CU145" i="1"/>
  <c r="CO145" i="1"/>
  <c r="CN145" i="1"/>
  <c r="CH145" i="1"/>
  <c r="CG145" i="1"/>
  <c r="BV145" i="1"/>
  <c r="BU145" i="1"/>
  <c r="BN145" i="1"/>
  <c r="BG145" i="1"/>
  <c r="BF145" i="1"/>
  <c r="AV145" i="1"/>
  <c r="AP145" i="1"/>
  <c r="AO145" i="1"/>
  <c r="AH145" i="1"/>
  <c r="AG145" i="1"/>
  <c r="P145" i="1"/>
  <c r="O145" i="1"/>
  <c r="I145" i="1"/>
  <c r="H145" i="1"/>
  <c r="CY144" i="1"/>
  <c r="CV144" i="1"/>
  <c r="CU144" i="1"/>
  <c r="CO144" i="1"/>
  <c r="CN144" i="1"/>
  <c r="CH144" i="1"/>
  <c r="CG144" i="1"/>
  <c r="BV144" i="1"/>
  <c r="BU144" i="1"/>
  <c r="BN144" i="1"/>
  <c r="BG144" i="1"/>
  <c r="BF144" i="1"/>
  <c r="AV144" i="1"/>
  <c r="AP144" i="1"/>
  <c r="AO144" i="1"/>
  <c r="AH144" i="1"/>
  <c r="AG144" i="1"/>
  <c r="P144" i="1"/>
  <c r="O144" i="1"/>
  <c r="I144" i="1"/>
  <c r="H144" i="1"/>
  <c r="CY143" i="1"/>
  <c r="CV143" i="1"/>
  <c r="CU143" i="1"/>
  <c r="CO143" i="1"/>
  <c r="CN143" i="1"/>
  <c r="CH143" i="1"/>
  <c r="CG143" i="1"/>
  <c r="BV143" i="1"/>
  <c r="BU143" i="1"/>
  <c r="BN143" i="1"/>
  <c r="BG143" i="1"/>
  <c r="BF143" i="1"/>
  <c r="AV143" i="1"/>
  <c r="AP143" i="1"/>
  <c r="AO143" i="1"/>
  <c r="AH143" i="1"/>
  <c r="AG143" i="1"/>
  <c r="P143" i="1"/>
  <c r="O143" i="1"/>
  <c r="I143" i="1"/>
  <c r="H143" i="1"/>
  <c r="CY142" i="1"/>
  <c r="CV142" i="1"/>
  <c r="CU142" i="1"/>
  <c r="CO142" i="1"/>
  <c r="CN142" i="1"/>
  <c r="CH142" i="1"/>
  <c r="CG142" i="1"/>
  <c r="BV142" i="1"/>
  <c r="BU142" i="1"/>
  <c r="BN142" i="1"/>
  <c r="BG142" i="1"/>
  <c r="BF142" i="1"/>
  <c r="AV142" i="1"/>
  <c r="AP142" i="1"/>
  <c r="AO142" i="1"/>
  <c r="AH142" i="1"/>
  <c r="AG142" i="1"/>
  <c r="P142" i="1"/>
  <c r="O142" i="1"/>
  <c r="I142" i="1"/>
  <c r="H142" i="1"/>
  <c r="CY141" i="1"/>
  <c r="CV141" i="1"/>
  <c r="CU141" i="1"/>
  <c r="CO141" i="1"/>
  <c r="CN141" i="1"/>
  <c r="CH141" i="1"/>
  <c r="CG141" i="1"/>
  <c r="BV141" i="1"/>
  <c r="BU141" i="1"/>
  <c r="BN141" i="1"/>
  <c r="BG141" i="1"/>
  <c r="BF141" i="1"/>
  <c r="AV141" i="1"/>
  <c r="AP141" i="1"/>
  <c r="AO141" i="1"/>
  <c r="AH141" i="1"/>
  <c r="AG141" i="1"/>
  <c r="P141" i="1"/>
  <c r="O141" i="1"/>
  <c r="I141" i="1"/>
  <c r="H141" i="1"/>
  <c r="CY140" i="1"/>
  <c r="CV140" i="1"/>
  <c r="CU140" i="1"/>
  <c r="CO140" i="1"/>
  <c r="CN140" i="1"/>
  <c r="CH140" i="1"/>
  <c r="CG140" i="1"/>
  <c r="BV140" i="1"/>
  <c r="BU140" i="1"/>
  <c r="BN140" i="1"/>
  <c r="BG140" i="1"/>
  <c r="BF140" i="1"/>
  <c r="AV140" i="1"/>
  <c r="AP140" i="1"/>
  <c r="AO140" i="1"/>
  <c r="AH140" i="1"/>
  <c r="AG140" i="1"/>
  <c r="P140" i="1"/>
  <c r="O140" i="1"/>
  <c r="I140" i="1"/>
  <c r="H140" i="1"/>
  <c r="CY139" i="1"/>
  <c r="CV139" i="1"/>
  <c r="CU139" i="1"/>
  <c r="CO139" i="1"/>
  <c r="CN139" i="1"/>
  <c r="CH139" i="1"/>
  <c r="CG139" i="1"/>
  <c r="BV139" i="1"/>
  <c r="BU139" i="1"/>
  <c r="BN139" i="1"/>
  <c r="BG139" i="1"/>
  <c r="BF139" i="1"/>
  <c r="AV139" i="1"/>
  <c r="AP139" i="1"/>
  <c r="AO139" i="1"/>
  <c r="AH139" i="1"/>
  <c r="AG139" i="1"/>
  <c r="P139" i="1"/>
  <c r="O139" i="1"/>
  <c r="I139" i="1"/>
  <c r="H139" i="1"/>
  <c r="CY136" i="1"/>
  <c r="CV136" i="1"/>
  <c r="CU136" i="1"/>
  <c r="CO136" i="1"/>
  <c r="CN136" i="1"/>
  <c r="CH136" i="1"/>
  <c r="CG136" i="1"/>
  <c r="BV136" i="1"/>
  <c r="BU136" i="1"/>
  <c r="BN136" i="1"/>
  <c r="BG136" i="1"/>
  <c r="BF136" i="1"/>
  <c r="AV136" i="1"/>
  <c r="AP136" i="1"/>
  <c r="AO136" i="1"/>
  <c r="AH136" i="1"/>
  <c r="AG136" i="1"/>
  <c r="P136" i="1"/>
  <c r="O136" i="1"/>
  <c r="I136" i="1"/>
  <c r="H136" i="1"/>
  <c r="CY135" i="1"/>
  <c r="CV135" i="1"/>
  <c r="CU135" i="1"/>
  <c r="CO135" i="1"/>
  <c r="CN135" i="1"/>
  <c r="CH135" i="1"/>
  <c r="CG135" i="1"/>
  <c r="BV135" i="1"/>
  <c r="BU135" i="1"/>
  <c r="BN135" i="1"/>
  <c r="BG135" i="1"/>
  <c r="BF135" i="1"/>
  <c r="AV135" i="1"/>
  <c r="AP135" i="1"/>
  <c r="AO135" i="1"/>
  <c r="AH135" i="1"/>
  <c r="AG135" i="1"/>
  <c r="P135" i="1"/>
  <c r="O135" i="1"/>
  <c r="I135" i="1"/>
  <c r="H135" i="1"/>
  <c r="CY134" i="1"/>
  <c r="CV134" i="1"/>
  <c r="CU134" i="1"/>
  <c r="CO134" i="1"/>
  <c r="CN134" i="1"/>
  <c r="CH134" i="1"/>
  <c r="CG134" i="1"/>
  <c r="BV134" i="1"/>
  <c r="BU134" i="1"/>
  <c r="BN134" i="1"/>
  <c r="BG134" i="1"/>
  <c r="BF134" i="1"/>
  <c r="AV134" i="1"/>
  <c r="AP134" i="1"/>
  <c r="AO134" i="1"/>
  <c r="AH134" i="1"/>
  <c r="AG134" i="1"/>
  <c r="P134" i="1"/>
  <c r="O134" i="1"/>
  <c r="I134" i="1"/>
  <c r="H134" i="1"/>
  <c r="CY133" i="1"/>
  <c r="CV133" i="1"/>
  <c r="CU133" i="1"/>
  <c r="CO133" i="1"/>
  <c r="CN133" i="1"/>
  <c r="CH133" i="1"/>
  <c r="CG133" i="1"/>
  <c r="BV133" i="1"/>
  <c r="BU133" i="1"/>
  <c r="BN133" i="1"/>
  <c r="BG133" i="1"/>
  <c r="BF133" i="1"/>
  <c r="AV133" i="1"/>
  <c r="AP133" i="1"/>
  <c r="AO133" i="1"/>
  <c r="AH133" i="1"/>
  <c r="AG133" i="1"/>
  <c r="P133" i="1"/>
  <c r="O133" i="1"/>
  <c r="I133" i="1"/>
  <c r="H133" i="1"/>
  <c r="CY132" i="1"/>
  <c r="CV132" i="1"/>
  <c r="CU132" i="1"/>
  <c r="CO132" i="1"/>
  <c r="CN132" i="1"/>
  <c r="CH132" i="1"/>
  <c r="CG132" i="1"/>
  <c r="BV132" i="1"/>
  <c r="BU132" i="1"/>
  <c r="BN132" i="1"/>
  <c r="BG132" i="1"/>
  <c r="BF132" i="1"/>
  <c r="AV132" i="1"/>
  <c r="AP132" i="1"/>
  <c r="AO132" i="1"/>
  <c r="AH132" i="1"/>
  <c r="AG132" i="1"/>
  <c r="P132" i="1"/>
  <c r="O132" i="1"/>
  <c r="I132" i="1"/>
  <c r="H132" i="1"/>
  <c r="CY131" i="1"/>
  <c r="CV131" i="1"/>
  <c r="CU131" i="1"/>
  <c r="CO131" i="1"/>
  <c r="CN131" i="1"/>
  <c r="CH131" i="1"/>
  <c r="CG131" i="1"/>
  <c r="BV131" i="1"/>
  <c r="BU131" i="1"/>
  <c r="BN131" i="1"/>
  <c r="BG131" i="1"/>
  <c r="BF131" i="1"/>
  <c r="AV131" i="1"/>
  <c r="AP131" i="1"/>
  <c r="AO131" i="1"/>
  <c r="AH131" i="1"/>
  <c r="AG131" i="1"/>
  <c r="P131" i="1"/>
  <c r="O131" i="1"/>
  <c r="I131" i="1"/>
  <c r="H131" i="1"/>
  <c r="CY130" i="1"/>
  <c r="CV130" i="1"/>
  <c r="CU130" i="1"/>
  <c r="CO130" i="1"/>
  <c r="CN130" i="1"/>
  <c r="CH130" i="1"/>
  <c r="CG130" i="1"/>
  <c r="BV130" i="1"/>
  <c r="BU130" i="1"/>
  <c r="BN130" i="1"/>
  <c r="BG130" i="1"/>
  <c r="BF130" i="1"/>
  <c r="AV130" i="1"/>
  <c r="AP130" i="1"/>
  <c r="AO130" i="1"/>
  <c r="AH130" i="1"/>
  <c r="AG130" i="1"/>
  <c r="P130" i="1"/>
  <c r="O130" i="1"/>
  <c r="I130" i="1"/>
  <c r="H130" i="1"/>
  <c r="CY129" i="1"/>
  <c r="CV129" i="1"/>
  <c r="CU129" i="1"/>
  <c r="CO129" i="1"/>
  <c r="CN129" i="1"/>
  <c r="CH129" i="1"/>
  <c r="CG129" i="1"/>
  <c r="BV129" i="1"/>
  <c r="BU129" i="1"/>
  <c r="BN129" i="1"/>
  <c r="BG129" i="1"/>
  <c r="BF129" i="1"/>
  <c r="AV129" i="1"/>
  <c r="AP129" i="1"/>
  <c r="AO129" i="1"/>
  <c r="AH129" i="1"/>
  <c r="AG129" i="1"/>
  <c r="P129" i="1"/>
  <c r="O129" i="1"/>
  <c r="I129" i="1"/>
  <c r="H129" i="1"/>
  <c r="CY128" i="1"/>
  <c r="CV128" i="1"/>
  <c r="CU128" i="1"/>
  <c r="CO128" i="1"/>
  <c r="CN128" i="1"/>
  <c r="CH128" i="1"/>
  <c r="CG128" i="1"/>
  <c r="BV128" i="1"/>
  <c r="BU128" i="1"/>
  <c r="BN128" i="1"/>
  <c r="BG128" i="1"/>
  <c r="BF128" i="1"/>
  <c r="AV128" i="1"/>
  <c r="AP128" i="1"/>
  <c r="AO128" i="1"/>
  <c r="AH128" i="1"/>
  <c r="AG128" i="1"/>
  <c r="P128" i="1"/>
  <c r="O128" i="1"/>
  <c r="I128" i="1"/>
  <c r="H128" i="1"/>
  <c r="CY127" i="1"/>
  <c r="CV127" i="1"/>
  <c r="CU127" i="1"/>
  <c r="CO127" i="1"/>
  <c r="CN127" i="1"/>
  <c r="CH127" i="1"/>
  <c r="CG127" i="1"/>
  <c r="BV127" i="1"/>
  <c r="BU127" i="1"/>
  <c r="BN127" i="1"/>
  <c r="BG127" i="1"/>
  <c r="BF127" i="1"/>
  <c r="AV127" i="1"/>
  <c r="AP127" i="1"/>
  <c r="AO127" i="1"/>
  <c r="AH127" i="1"/>
  <c r="AG127" i="1"/>
  <c r="P127" i="1"/>
  <c r="O127" i="1"/>
  <c r="I127" i="1"/>
  <c r="H127" i="1"/>
  <c r="CY126" i="1"/>
  <c r="CV126" i="1"/>
  <c r="CU126" i="1"/>
  <c r="CO126" i="1"/>
  <c r="CN126" i="1"/>
  <c r="CH126" i="1"/>
  <c r="CG126" i="1"/>
  <c r="BV126" i="1"/>
  <c r="BU126" i="1"/>
  <c r="BN126" i="1"/>
  <c r="BG126" i="1"/>
  <c r="BF126" i="1"/>
  <c r="AV126" i="1"/>
  <c r="AP126" i="1"/>
  <c r="AO126" i="1"/>
  <c r="AH126" i="1"/>
  <c r="AG126" i="1"/>
  <c r="P126" i="1"/>
  <c r="O126" i="1"/>
  <c r="I126" i="1"/>
  <c r="H126" i="1"/>
  <c r="CY125" i="1"/>
  <c r="CV125" i="1"/>
  <c r="CU125" i="1"/>
  <c r="CO125" i="1"/>
  <c r="CN125" i="1"/>
  <c r="CH125" i="1"/>
  <c r="CG125" i="1"/>
  <c r="BV125" i="1"/>
  <c r="BU125" i="1"/>
  <c r="BN125" i="1"/>
  <c r="BG125" i="1"/>
  <c r="BF125" i="1"/>
  <c r="AV125" i="1"/>
  <c r="AP125" i="1"/>
  <c r="AO125" i="1"/>
  <c r="AH125" i="1"/>
  <c r="AG125" i="1"/>
  <c r="P125" i="1"/>
  <c r="O125" i="1"/>
  <c r="I125" i="1"/>
  <c r="H125" i="1"/>
  <c r="CY124" i="1"/>
  <c r="CV124" i="1"/>
  <c r="CU124" i="1"/>
  <c r="CO124" i="1"/>
  <c r="CN124" i="1"/>
  <c r="CH124" i="1"/>
  <c r="CG124" i="1"/>
  <c r="BV124" i="1"/>
  <c r="BU124" i="1"/>
  <c r="BN124" i="1"/>
  <c r="BG124" i="1"/>
  <c r="BF124" i="1"/>
  <c r="AV124" i="1"/>
  <c r="AP124" i="1"/>
  <c r="AO124" i="1"/>
  <c r="AH124" i="1"/>
  <c r="AG124" i="1"/>
  <c r="P124" i="1"/>
  <c r="O124" i="1"/>
  <c r="I124" i="1"/>
  <c r="H124" i="1"/>
  <c r="CY123" i="1"/>
  <c r="CV123" i="1"/>
  <c r="CU123" i="1"/>
  <c r="CO123" i="1"/>
  <c r="CN123" i="1"/>
  <c r="CH123" i="1"/>
  <c r="CG123" i="1"/>
  <c r="BV123" i="1"/>
  <c r="BU123" i="1"/>
  <c r="BN123" i="1"/>
  <c r="BG123" i="1"/>
  <c r="BF123" i="1"/>
  <c r="AV123" i="1"/>
  <c r="AP123" i="1"/>
  <c r="AO123" i="1"/>
  <c r="AH123" i="1"/>
  <c r="AG123" i="1"/>
  <c r="P123" i="1"/>
  <c r="O123" i="1"/>
  <c r="I123" i="1"/>
  <c r="H123" i="1"/>
  <c r="CY122" i="1"/>
  <c r="CV122" i="1"/>
  <c r="CU122" i="1"/>
  <c r="CO122" i="1"/>
  <c r="CN122" i="1"/>
  <c r="CH122" i="1"/>
  <c r="CG122" i="1"/>
  <c r="BV122" i="1"/>
  <c r="BU122" i="1"/>
  <c r="BN122" i="1"/>
  <c r="BG122" i="1"/>
  <c r="BF122" i="1"/>
  <c r="AV122" i="1"/>
  <c r="AP122" i="1"/>
  <c r="AO122" i="1"/>
  <c r="AH122" i="1"/>
  <c r="AG122" i="1"/>
  <c r="P122" i="1"/>
  <c r="O122" i="1"/>
  <c r="I122" i="1"/>
  <c r="H122" i="1"/>
  <c r="CY121" i="1"/>
  <c r="CV121" i="1"/>
  <c r="CU121" i="1"/>
  <c r="CO121" i="1"/>
  <c r="CN121" i="1"/>
  <c r="CH121" i="1"/>
  <c r="CG121" i="1"/>
  <c r="BV121" i="1"/>
  <c r="BU121" i="1"/>
  <c r="BN121" i="1"/>
  <c r="BG121" i="1"/>
  <c r="BF121" i="1"/>
  <c r="AV121" i="1"/>
  <c r="AP121" i="1"/>
  <c r="AO121" i="1"/>
  <c r="AH121" i="1"/>
  <c r="AG121" i="1"/>
  <c r="P121" i="1"/>
  <c r="O121" i="1"/>
  <c r="I121" i="1"/>
  <c r="H121" i="1"/>
  <c r="CY120" i="1"/>
  <c r="CV120" i="1"/>
  <c r="CU120" i="1"/>
  <c r="CO120" i="1"/>
  <c r="CN120" i="1"/>
  <c r="CH120" i="1"/>
  <c r="CG120" i="1"/>
  <c r="BV120" i="1"/>
  <c r="BU120" i="1"/>
  <c r="BN120" i="1"/>
  <c r="BG120" i="1"/>
  <c r="BF120" i="1"/>
  <c r="AV120" i="1"/>
  <c r="AP120" i="1"/>
  <c r="AO120" i="1"/>
  <c r="AH120" i="1"/>
  <c r="AG120" i="1"/>
  <c r="P120" i="1"/>
  <c r="O120" i="1"/>
  <c r="I120" i="1"/>
  <c r="H120" i="1"/>
  <c r="CY119" i="1"/>
  <c r="CV119" i="1"/>
  <c r="CU119" i="1"/>
  <c r="CO119" i="1"/>
  <c r="CN119" i="1"/>
  <c r="CH119" i="1"/>
  <c r="CG119" i="1"/>
  <c r="BV119" i="1"/>
  <c r="BU119" i="1"/>
  <c r="BN119" i="1"/>
  <c r="BG119" i="1"/>
  <c r="BF119" i="1"/>
  <c r="AV119" i="1"/>
  <c r="AP119" i="1"/>
  <c r="AO119" i="1"/>
  <c r="AH119" i="1"/>
  <c r="AG119" i="1"/>
  <c r="P119" i="1"/>
  <c r="O119" i="1"/>
  <c r="I119" i="1"/>
  <c r="H119" i="1"/>
  <c r="CY118" i="1"/>
  <c r="CV118" i="1"/>
  <c r="CU118" i="1"/>
  <c r="CO118" i="1"/>
  <c r="CN118" i="1"/>
  <c r="CH118" i="1"/>
  <c r="CG118" i="1"/>
  <c r="BV118" i="1"/>
  <c r="BU118" i="1"/>
  <c r="BN118" i="1"/>
  <c r="BG118" i="1"/>
  <c r="BF118" i="1"/>
  <c r="AV118" i="1"/>
  <c r="AP118" i="1"/>
  <c r="AO118" i="1"/>
  <c r="AH118" i="1"/>
  <c r="AG118" i="1"/>
  <c r="P118" i="1"/>
  <c r="O118" i="1"/>
  <c r="I118" i="1"/>
  <c r="H118" i="1"/>
  <c r="CY117" i="1"/>
  <c r="CV117" i="1"/>
  <c r="CU117" i="1"/>
  <c r="CO117" i="1"/>
  <c r="CN117" i="1"/>
  <c r="CH117" i="1"/>
  <c r="CG117" i="1"/>
  <c r="BV117" i="1"/>
  <c r="BU117" i="1"/>
  <c r="BN117" i="1"/>
  <c r="BG117" i="1"/>
  <c r="BF117" i="1"/>
  <c r="AV117" i="1"/>
  <c r="AP117" i="1"/>
  <c r="AO117" i="1"/>
  <c r="AH117" i="1"/>
  <c r="AG117" i="1"/>
  <c r="P117" i="1"/>
  <c r="O117" i="1"/>
  <c r="I117" i="1"/>
  <c r="H117" i="1"/>
  <c r="CY116" i="1"/>
  <c r="CV116" i="1"/>
  <c r="CU116" i="1"/>
  <c r="CO116" i="1"/>
  <c r="CN116" i="1"/>
  <c r="CH116" i="1"/>
  <c r="CG116" i="1"/>
  <c r="BV116" i="1"/>
  <c r="BU116" i="1"/>
  <c r="BN116" i="1"/>
  <c r="BG116" i="1"/>
  <c r="BF116" i="1"/>
  <c r="AV116" i="1"/>
  <c r="AP116" i="1"/>
  <c r="AO116" i="1"/>
  <c r="AH116" i="1"/>
  <c r="AG116" i="1"/>
  <c r="P116" i="1"/>
  <c r="O116" i="1"/>
  <c r="I116" i="1"/>
  <c r="H116" i="1"/>
  <c r="CY115" i="1"/>
  <c r="CV115" i="1"/>
  <c r="CU115" i="1"/>
  <c r="CO115" i="1"/>
  <c r="CN115" i="1"/>
  <c r="CH115" i="1"/>
  <c r="CG115" i="1"/>
  <c r="BV115" i="1"/>
  <c r="BU115" i="1"/>
  <c r="BN115" i="1"/>
  <c r="BG115" i="1"/>
  <c r="BF115" i="1"/>
  <c r="AV115" i="1"/>
  <c r="AP115" i="1"/>
  <c r="AO115" i="1"/>
  <c r="AH115" i="1"/>
  <c r="AG115" i="1"/>
  <c r="P115" i="1"/>
  <c r="O115" i="1"/>
  <c r="I115" i="1"/>
  <c r="H115" i="1"/>
  <c r="CY114" i="1"/>
  <c r="CV114" i="1"/>
  <c r="CU114" i="1"/>
  <c r="CO114" i="1"/>
  <c r="CN114" i="1"/>
  <c r="CH114" i="1"/>
  <c r="CG114" i="1"/>
  <c r="BV114" i="1"/>
  <c r="BU114" i="1"/>
  <c r="BN114" i="1"/>
  <c r="BG114" i="1"/>
  <c r="BF114" i="1"/>
  <c r="AV114" i="1"/>
  <c r="AP114" i="1"/>
  <c r="AO114" i="1"/>
  <c r="AH114" i="1"/>
  <c r="AG114" i="1"/>
  <c r="P114" i="1"/>
  <c r="O114" i="1"/>
  <c r="I114" i="1"/>
  <c r="H114" i="1"/>
  <c r="CY113" i="1"/>
  <c r="CV113" i="1"/>
  <c r="CU113" i="1"/>
  <c r="CO113" i="1"/>
  <c r="CN113" i="1"/>
  <c r="CH113" i="1"/>
  <c r="CG113" i="1"/>
  <c r="BV113" i="1"/>
  <c r="BU113" i="1"/>
  <c r="BN113" i="1"/>
  <c r="BG113" i="1"/>
  <c r="BF113" i="1"/>
  <c r="AV113" i="1"/>
  <c r="AP113" i="1"/>
  <c r="AO113" i="1"/>
  <c r="AH113" i="1"/>
  <c r="AG113" i="1"/>
  <c r="P113" i="1"/>
  <c r="O113" i="1"/>
  <c r="I113" i="1"/>
  <c r="H113" i="1"/>
  <c r="CY112" i="1"/>
  <c r="CV112" i="1"/>
  <c r="CU112" i="1"/>
  <c r="CO112" i="1"/>
  <c r="CN112" i="1"/>
  <c r="CH112" i="1"/>
  <c r="CG112" i="1"/>
  <c r="BV112" i="1"/>
  <c r="BU112" i="1"/>
  <c r="BN112" i="1"/>
  <c r="BG112" i="1"/>
  <c r="BF112" i="1"/>
  <c r="AV112" i="1"/>
  <c r="AP112" i="1"/>
  <c r="AO112" i="1"/>
  <c r="AH112" i="1"/>
  <c r="AG112" i="1"/>
  <c r="P112" i="1"/>
  <c r="O112" i="1"/>
  <c r="I112" i="1"/>
  <c r="H112" i="1"/>
  <c r="CY111" i="1"/>
  <c r="CV111" i="1"/>
  <c r="CU111" i="1"/>
  <c r="CO111" i="1"/>
  <c r="CN111" i="1"/>
  <c r="CH111" i="1"/>
  <c r="CG111" i="1"/>
  <c r="BV111" i="1"/>
  <c r="BU111" i="1"/>
  <c r="BN111" i="1"/>
  <c r="BG111" i="1"/>
  <c r="BF111" i="1"/>
  <c r="AV111" i="1"/>
  <c r="AP111" i="1"/>
  <c r="AO111" i="1"/>
  <c r="AH111" i="1"/>
  <c r="AG111" i="1"/>
  <c r="P111" i="1"/>
  <c r="O111" i="1"/>
  <c r="I111" i="1"/>
  <c r="H111" i="1"/>
  <c r="CY110" i="1"/>
  <c r="CV110" i="1"/>
  <c r="CU110" i="1"/>
  <c r="CO110" i="1"/>
  <c r="CN110" i="1"/>
  <c r="CH110" i="1"/>
  <c r="CG110" i="1"/>
  <c r="BV110" i="1"/>
  <c r="BU110" i="1"/>
  <c r="BN110" i="1"/>
  <c r="BG110" i="1"/>
  <c r="BF110" i="1"/>
  <c r="AV110" i="1"/>
  <c r="AP110" i="1"/>
  <c r="AO110" i="1"/>
  <c r="AH110" i="1"/>
  <c r="AG110" i="1"/>
  <c r="P110" i="1"/>
  <c r="O110" i="1"/>
  <c r="I110" i="1"/>
  <c r="H110" i="1"/>
  <c r="CY109" i="1"/>
  <c r="CV109" i="1"/>
  <c r="CU109" i="1"/>
  <c r="CO109" i="1"/>
  <c r="CN109" i="1"/>
  <c r="CH109" i="1"/>
  <c r="CG109" i="1"/>
  <c r="BV109" i="1"/>
  <c r="BU109" i="1"/>
  <c r="BN109" i="1"/>
  <c r="BG109" i="1"/>
  <c r="BF109" i="1"/>
  <c r="AV109" i="1"/>
  <c r="AP109" i="1"/>
  <c r="AO109" i="1"/>
  <c r="AH109" i="1"/>
  <c r="AG109" i="1"/>
  <c r="P109" i="1"/>
  <c r="O109" i="1"/>
  <c r="I109" i="1"/>
  <c r="H109" i="1"/>
  <c r="CY108" i="1"/>
  <c r="CV108" i="1"/>
  <c r="CU108" i="1"/>
  <c r="CO108" i="1"/>
  <c r="CN108" i="1"/>
  <c r="CH108" i="1"/>
  <c r="CG108" i="1"/>
  <c r="BV108" i="1"/>
  <c r="BU108" i="1"/>
  <c r="BN108" i="1"/>
  <c r="BG108" i="1"/>
  <c r="BF108" i="1"/>
  <c r="AV108" i="1"/>
  <c r="AP108" i="1"/>
  <c r="AO108" i="1"/>
  <c r="AH108" i="1"/>
  <c r="AG108" i="1"/>
  <c r="P108" i="1"/>
  <c r="O108" i="1"/>
  <c r="I108" i="1"/>
  <c r="H108" i="1"/>
  <c r="CY107" i="1"/>
  <c r="CV107" i="1"/>
  <c r="CU107" i="1"/>
  <c r="CO107" i="1"/>
  <c r="CN107" i="1"/>
  <c r="CH107" i="1"/>
  <c r="CG107" i="1"/>
  <c r="BV107" i="1"/>
  <c r="BU107" i="1"/>
  <c r="BN107" i="1"/>
  <c r="BG107" i="1"/>
  <c r="BF107" i="1"/>
  <c r="AV107" i="1"/>
  <c r="AP107" i="1"/>
  <c r="AO107" i="1"/>
  <c r="AH107" i="1"/>
  <c r="AG107" i="1"/>
  <c r="P107" i="1"/>
  <c r="O107" i="1"/>
  <c r="I107" i="1"/>
  <c r="H107" i="1"/>
  <c r="CY106" i="1"/>
  <c r="CV106" i="1"/>
  <c r="CU106" i="1"/>
  <c r="CO106" i="1"/>
  <c r="CN106" i="1"/>
  <c r="CH106" i="1"/>
  <c r="CG106" i="1"/>
  <c r="BV106" i="1"/>
  <c r="BU106" i="1"/>
  <c r="BN106" i="1"/>
  <c r="BG106" i="1"/>
  <c r="BF106" i="1"/>
  <c r="AV106" i="1"/>
  <c r="AP106" i="1"/>
  <c r="AO106" i="1"/>
  <c r="AH106" i="1"/>
  <c r="AG106" i="1"/>
  <c r="P106" i="1"/>
  <c r="O106" i="1"/>
  <c r="I106" i="1"/>
  <c r="H106" i="1"/>
  <c r="CY105" i="1"/>
  <c r="CV105" i="1"/>
  <c r="CU105" i="1"/>
  <c r="CO105" i="1"/>
  <c r="CN105" i="1"/>
  <c r="CH105" i="1"/>
  <c r="CG105" i="1"/>
  <c r="BV105" i="1"/>
  <c r="BU105" i="1"/>
  <c r="BN105" i="1"/>
  <c r="BG105" i="1"/>
  <c r="BF105" i="1"/>
  <c r="AV105" i="1"/>
  <c r="AP105" i="1"/>
  <c r="AO105" i="1"/>
  <c r="AH105" i="1"/>
  <c r="AG105" i="1"/>
  <c r="P105" i="1"/>
  <c r="O105" i="1"/>
  <c r="I105" i="1"/>
  <c r="H105" i="1"/>
  <c r="CY104" i="1"/>
  <c r="CV104" i="1"/>
  <c r="CU104" i="1"/>
  <c r="CO104" i="1"/>
  <c r="CN104" i="1"/>
  <c r="CH104" i="1"/>
  <c r="CG104" i="1"/>
  <c r="BV104" i="1"/>
  <c r="BU104" i="1"/>
  <c r="BN104" i="1"/>
  <c r="BG104" i="1"/>
  <c r="BF104" i="1"/>
  <c r="AV104" i="1"/>
  <c r="AP104" i="1"/>
  <c r="AO104" i="1"/>
  <c r="AH104" i="1"/>
  <c r="AG104" i="1"/>
  <c r="P104" i="1"/>
  <c r="O104" i="1"/>
  <c r="I104" i="1"/>
  <c r="H104" i="1"/>
  <c r="CY103" i="1"/>
  <c r="CV103" i="1"/>
  <c r="CU103" i="1"/>
  <c r="CO103" i="1"/>
  <c r="CN103" i="1"/>
  <c r="CH103" i="1"/>
  <c r="CG103" i="1"/>
  <c r="BV103" i="1"/>
  <c r="BU103" i="1"/>
  <c r="BN103" i="1"/>
  <c r="BG103" i="1"/>
  <c r="BF103" i="1"/>
  <c r="AV103" i="1"/>
  <c r="AP103" i="1"/>
  <c r="AO103" i="1"/>
  <c r="AH103" i="1"/>
  <c r="AG103" i="1"/>
  <c r="P103" i="1"/>
  <c r="O103" i="1"/>
  <c r="I103" i="1"/>
  <c r="H103" i="1"/>
  <c r="CY102" i="1"/>
  <c r="CV102" i="1"/>
  <c r="CU102" i="1"/>
  <c r="CO102" i="1"/>
  <c r="CN102" i="1"/>
  <c r="CH102" i="1"/>
  <c r="CG102" i="1"/>
  <c r="BV102" i="1"/>
  <c r="BU102" i="1"/>
  <c r="BN102" i="1"/>
  <c r="BG102" i="1"/>
  <c r="BF102" i="1"/>
  <c r="AV102" i="1"/>
  <c r="AP102" i="1"/>
  <c r="AO102" i="1"/>
  <c r="AH102" i="1"/>
  <c r="AG102" i="1"/>
  <c r="P102" i="1"/>
  <c r="O102" i="1"/>
  <c r="I102" i="1"/>
  <c r="H102" i="1"/>
  <c r="CY101" i="1"/>
  <c r="CV101" i="1"/>
  <c r="CU101" i="1"/>
  <c r="CO101" i="1"/>
  <c r="CN101" i="1"/>
  <c r="CH101" i="1"/>
  <c r="CG101" i="1"/>
  <c r="BV101" i="1"/>
  <c r="BU101" i="1"/>
  <c r="BN101" i="1"/>
  <c r="BG101" i="1"/>
  <c r="BF101" i="1"/>
  <c r="AV101" i="1"/>
  <c r="AP101" i="1"/>
  <c r="AO101" i="1"/>
  <c r="AH101" i="1"/>
  <c r="AG101" i="1"/>
  <c r="P101" i="1"/>
  <c r="O101" i="1"/>
  <c r="I101" i="1"/>
  <c r="H101" i="1"/>
  <c r="CY100" i="1"/>
  <c r="CV100" i="1"/>
  <c r="CU100" i="1"/>
  <c r="CO100" i="1"/>
  <c r="CN100" i="1"/>
  <c r="CH100" i="1"/>
  <c r="CG100" i="1"/>
  <c r="BV100" i="1"/>
  <c r="BU100" i="1"/>
  <c r="BN100" i="1"/>
  <c r="BG100" i="1"/>
  <c r="BF100" i="1"/>
  <c r="AV100" i="1"/>
  <c r="AP100" i="1"/>
  <c r="AO100" i="1"/>
  <c r="AH100" i="1"/>
  <c r="AG100" i="1"/>
  <c r="P100" i="1"/>
  <c r="O100" i="1"/>
  <c r="I100" i="1"/>
  <c r="H100" i="1"/>
  <c r="CY99" i="1"/>
  <c r="CV99" i="1"/>
  <c r="CU99" i="1"/>
  <c r="CO99" i="1"/>
  <c r="CN99" i="1"/>
  <c r="CH99" i="1"/>
  <c r="CG99" i="1"/>
  <c r="BV99" i="1"/>
  <c r="BU99" i="1"/>
  <c r="BN99" i="1"/>
  <c r="BG99" i="1"/>
  <c r="BF99" i="1"/>
  <c r="AV99" i="1"/>
  <c r="AP99" i="1"/>
  <c r="AO99" i="1"/>
  <c r="AH99" i="1"/>
  <c r="AG99" i="1"/>
  <c r="P99" i="1"/>
  <c r="O99" i="1"/>
  <c r="I99" i="1"/>
  <c r="H99" i="1"/>
  <c r="CY98" i="1"/>
  <c r="CV98" i="1"/>
  <c r="CU98" i="1"/>
  <c r="CO98" i="1"/>
  <c r="CN98" i="1"/>
  <c r="CH98" i="1"/>
  <c r="CG98" i="1"/>
  <c r="BV98" i="1"/>
  <c r="BU98" i="1"/>
  <c r="BN98" i="1"/>
  <c r="BG98" i="1"/>
  <c r="BF98" i="1"/>
  <c r="AV98" i="1"/>
  <c r="AP98" i="1"/>
  <c r="AO98" i="1"/>
  <c r="AH98" i="1"/>
  <c r="AG98" i="1"/>
  <c r="P98" i="1"/>
  <c r="O98" i="1"/>
  <c r="I98" i="1"/>
  <c r="H98" i="1"/>
  <c r="CY97" i="1"/>
  <c r="CV97" i="1"/>
  <c r="CU97" i="1"/>
  <c r="CO97" i="1"/>
  <c r="CN97" i="1"/>
  <c r="CH97" i="1"/>
  <c r="CG97" i="1"/>
  <c r="BV97" i="1"/>
  <c r="BU97" i="1"/>
  <c r="BN97" i="1"/>
  <c r="BG97" i="1"/>
  <c r="BF97" i="1"/>
  <c r="AV97" i="1"/>
  <c r="AP97" i="1"/>
  <c r="AO97" i="1"/>
  <c r="AH97" i="1"/>
  <c r="AG97" i="1"/>
  <c r="P97" i="1"/>
  <c r="O97" i="1"/>
  <c r="I97" i="1"/>
  <c r="H97" i="1"/>
  <c r="CY96" i="1"/>
  <c r="CV96" i="1"/>
  <c r="CU96" i="1"/>
  <c r="CO96" i="1"/>
  <c r="CN96" i="1"/>
  <c r="CH96" i="1"/>
  <c r="CG96" i="1"/>
  <c r="BV96" i="1"/>
  <c r="BU96" i="1"/>
  <c r="BN96" i="1"/>
  <c r="BG96" i="1"/>
  <c r="BF96" i="1"/>
  <c r="AV96" i="1"/>
  <c r="AP96" i="1"/>
  <c r="AO96" i="1"/>
  <c r="AH96" i="1"/>
  <c r="AG96" i="1"/>
  <c r="P96" i="1"/>
  <c r="O96" i="1"/>
  <c r="I96" i="1"/>
  <c r="H96" i="1"/>
  <c r="CY95" i="1"/>
  <c r="CV95" i="1"/>
  <c r="CU95" i="1"/>
  <c r="CO95" i="1"/>
  <c r="CN95" i="1"/>
  <c r="CH95" i="1"/>
  <c r="CG95" i="1"/>
  <c r="BV95" i="1"/>
  <c r="BU95" i="1"/>
  <c r="BN95" i="1"/>
  <c r="BG95" i="1"/>
  <c r="BF95" i="1"/>
  <c r="AV95" i="1"/>
  <c r="AP95" i="1"/>
  <c r="AO95" i="1"/>
  <c r="AH95" i="1"/>
  <c r="AG95" i="1"/>
  <c r="P95" i="1"/>
  <c r="O95" i="1"/>
  <c r="I95" i="1"/>
  <c r="H95" i="1"/>
  <c r="CY94" i="1"/>
  <c r="CV94" i="1"/>
  <c r="CU94" i="1"/>
  <c r="CO94" i="1"/>
  <c r="CN94" i="1"/>
  <c r="CH94" i="1"/>
  <c r="CG94" i="1"/>
  <c r="BV94" i="1"/>
  <c r="BU94" i="1"/>
  <c r="BN94" i="1"/>
  <c r="BG94" i="1"/>
  <c r="BF94" i="1"/>
  <c r="AV94" i="1"/>
  <c r="AP94" i="1"/>
  <c r="AO94" i="1"/>
  <c r="AH94" i="1"/>
  <c r="AG94" i="1"/>
  <c r="P94" i="1"/>
  <c r="O94" i="1"/>
  <c r="I94" i="1"/>
  <c r="H94" i="1"/>
  <c r="CY93" i="1"/>
  <c r="CV93" i="1"/>
  <c r="CU93" i="1"/>
  <c r="CO93" i="1"/>
  <c r="CN93" i="1"/>
  <c r="CH93" i="1"/>
  <c r="CG93" i="1"/>
  <c r="BV93" i="1"/>
  <c r="BU93" i="1"/>
  <c r="BN93" i="1"/>
  <c r="BG93" i="1"/>
  <c r="BF93" i="1"/>
  <c r="AV93" i="1"/>
  <c r="AP93" i="1"/>
  <c r="AO93" i="1"/>
  <c r="AH93" i="1"/>
  <c r="AG93" i="1"/>
  <c r="P93" i="1"/>
  <c r="O93" i="1"/>
  <c r="I93" i="1"/>
  <c r="H93" i="1"/>
  <c r="CY92" i="1"/>
  <c r="CV92" i="1"/>
  <c r="CU92" i="1"/>
  <c r="CO92" i="1"/>
  <c r="CN92" i="1"/>
  <c r="CH92" i="1"/>
  <c r="CG92" i="1"/>
  <c r="BV92" i="1"/>
  <c r="BU92" i="1"/>
  <c r="BN92" i="1"/>
  <c r="BG92" i="1"/>
  <c r="BF92" i="1"/>
  <c r="AV92" i="1"/>
  <c r="AP92" i="1"/>
  <c r="AO92" i="1"/>
  <c r="AH92" i="1"/>
  <c r="AG92" i="1"/>
  <c r="P92" i="1"/>
  <c r="O92" i="1"/>
  <c r="I92" i="1"/>
  <c r="H92" i="1"/>
  <c r="CY91" i="1"/>
  <c r="CV91" i="1"/>
  <c r="CU91" i="1"/>
  <c r="CO91" i="1"/>
  <c r="CN91" i="1"/>
  <c r="CH91" i="1"/>
  <c r="CG91" i="1"/>
  <c r="BV91" i="1"/>
  <c r="BU91" i="1"/>
  <c r="BN91" i="1"/>
  <c r="BG91" i="1"/>
  <c r="BF91" i="1"/>
  <c r="AV91" i="1"/>
  <c r="AP91" i="1"/>
  <c r="AO91" i="1"/>
  <c r="AH91" i="1"/>
  <c r="AG91" i="1"/>
  <c r="P91" i="1"/>
  <c r="O91" i="1"/>
  <c r="I91" i="1"/>
  <c r="H91" i="1"/>
  <c r="CY90" i="1"/>
  <c r="CV90" i="1"/>
  <c r="CU90" i="1"/>
  <c r="CO90" i="1"/>
  <c r="CN90" i="1"/>
  <c r="CH90" i="1"/>
  <c r="CG90" i="1"/>
  <c r="BV90" i="1"/>
  <c r="BU90" i="1"/>
  <c r="BN90" i="1"/>
  <c r="BG90" i="1"/>
  <c r="BF90" i="1"/>
  <c r="AV90" i="1"/>
  <c r="AP90" i="1"/>
  <c r="AO90" i="1"/>
  <c r="AH90" i="1"/>
  <c r="AG90" i="1"/>
  <c r="P90" i="1"/>
  <c r="O90" i="1"/>
  <c r="I90" i="1"/>
  <c r="H90" i="1"/>
  <c r="CY89" i="1"/>
  <c r="CV89" i="1"/>
  <c r="CU89" i="1"/>
  <c r="CO89" i="1"/>
  <c r="CN89" i="1"/>
  <c r="CH89" i="1"/>
  <c r="CG89" i="1"/>
  <c r="BV89" i="1"/>
  <c r="BU89" i="1"/>
  <c r="BN89" i="1"/>
  <c r="BG89" i="1"/>
  <c r="BF89" i="1"/>
  <c r="AV89" i="1"/>
  <c r="AP89" i="1"/>
  <c r="AO89" i="1"/>
  <c r="AH89" i="1"/>
  <c r="AG89" i="1"/>
  <c r="P89" i="1"/>
  <c r="O89" i="1"/>
  <c r="I89" i="1"/>
  <c r="H89" i="1"/>
  <c r="CY88" i="1"/>
  <c r="CV88" i="1"/>
  <c r="CU88" i="1"/>
  <c r="CO88" i="1"/>
  <c r="CN88" i="1"/>
  <c r="CH88" i="1"/>
  <c r="CG88" i="1"/>
  <c r="BV88" i="1"/>
  <c r="BU88" i="1"/>
  <c r="BN88" i="1"/>
  <c r="BG88" i="1"/>
  <c r="BF88" i="1"/>
  <c r="AV88" i="1"/>
  <c r="AP88" i="1"/>
  <c r="AO88" i="1"/>
  <c r="AH88" i="1"/>
  <c r="AG88" i="1"/>
  <c r="P88" i="1"/>
  <c r="O88" i="1"/>
  <c r="I88" i="1"/>
  <c r="H88" i="1"/>
  <c r="CY87" i="1"/>
  <c r="CV87" i="1"/>
  <c r="CU87" i="1"/>
  <c r="CO87" i="1"/>
  <c r="CN87" i="1"/>
  <c r="CH87" i="1"/>
  <c r="CG87" i="1"/>
  <c r="BV87" i="1"/>
  <c r="BU87" i="1"/>
  <c r="BN87" i="1"/>
  <c r="BG87" i="1"/>
  <c r="BF87" i="1"/>
  <c r="AV87" i="1"/>
  <c r="AP87" i="1"/>
  <c r="AO87" i="1"/>
  <c r="AH87" i="1"/>
  <c r="AG87" i="1"/>
  <c r="P87" i="1"/>
  <c r="O87" i="1"/>
  <c r="I87" i="1"/>
  <c r="H87" i="1"/>
  <c r="CY86" i="1"/>
  <c r="CV86" i="1"/>
  <c r="CU86" i="1"/>
  <c r="CO86" i="1"/>
  <c r="CN86" i="1"/>
  <c r="CH86" i="1"/>
  <c r="CG86" i="1"/>
  <c r="BV86" i="1"/>
  <c r="BU86" i="1"/>
  <c r="BN86" i="1"/>
  <c r="BG86" i="1"/>
  <c r="BF86" i="1"/>
  <c r="AV86" i="1"/>
  <c r="AP86" i="1"/>
  <c r="AO86" i="1"/>
  <c r="AH86" i="1"/>
  <c r="AG86" i="1"/>
  <c r="P86" i="1"/>
  <c r="O86" i="1"/>
  <c r="I86" i="1"/>
  <c r="H86" i="1"/>
  <c r="CY85" i="1"/>
  <c r="CV85" i="1"/>
  <c r="CU85" i="1"/>
  <c r="CO85" i="1"/>
  <c r="CN85" i="1"/>
  <c r="CH85" i="1"/>
  <c r="CG85" i="1"/>
  <c r="BV85" i="1"/>
  <c r="BU85" i="1"/>
  <c r="BN85" i="1"/>
  <c r="BG85" i="1"/>
  <c r="BF85" i="1"/>
  <c r="AV85" i="1"/>
  <c r="AP85" i="1"/>
  <c r="AO85" i="1"/>
  <c r="AH85" i="1"/>
  <c r="AG85" i="1"/>
  <c r="P85" i="1"/>
  <c r="O85" i="1"/>
  <c r="I85" i="1"/>
  <c r="H85" i="1"/>
  <c r="CY84" i="1"/>
  <c r="CV84" i="1"/>
  <c r="CU84" i="1"/>
  <c r="CO84" i="1"/>
  <c r="CN84" i="1"/>
  <c r="CH84" i="1"/>
  <c r="CG84" i="1"/>
  <c r="BV84" i="1"/>
  <c r="BU84" i="1"/>
  <c r="BN84" i="1"/>
  <c r="BG84" i="1"/>
  <c r="BF84" i="1"/>
  <c r="AV84" i="1"/>
  <c r="AP84" i="1"/>
  <c r="AO84" i="1"/>
  <c r="AH84" i="1"/>
  <c r="AG84" i="1"/>
  <c r="P84" i="1"/>
  <c r="O84" i="1"/>
  <c r="I84" i="1"/>
  <c r="H84" i="1"/>
  <c r="CY83" i="1"/>
  <c r="CV83" i="1"/>
  <c r="CU83" i="1"/>
  <c r="CO83" i="1"/>
  <c r="CN83" i="1"/>
  <c r="CH83" i="1"/>
  <c r="CG83" i="1"/>
  <c r="BV83" i="1"/>
  <c r="BU83" i="1"/>
  <c r="BN83" i="1"/>
  <c r="BG83" i="1"/>
  <c r="BF83" i="1"/>
  <c r="AV83" i="1"/>
  <c r="AP83" i="1"/>
  <c r="AO83" i="1"/>
  <c r="AH83" i="1"/>
  <c r="AG83" i="1"/>
  <c r="P83" i="1"/>
  <c r="O83" i="1"/>
  <c r="I83" i="1"/>
  <c r="H83" i="1"/>
  <c r="CY82" i="1"/>
  <c r="CV82" i="1"/>
  <c r="CU82" i="1"/>
  <c r="CO82" i="1"/>
  <c r="CN82" i="1"/>
  <c r="CH82" i="1"/>
  <c r="CG82" i="1"/>
  <c r="BV82" i="1"/>
  <c r="BU82" i="1"/>
  <c r="BN82" i="1"/>
  <c r="BG82" i="1"/>
  <c r="BF82" i="1"/>
  <c r="AV82" i="1"/>
  <c r="AP82" i="1"/>
  <c r="AO82" i="1"/>
  <c r="AH82" i="1"/>
  <c r="AG82" i="1"/>
  <c r="P82" i="1"/>
  <c r="O82" i="1"/>
  <c r="I82" i="1"/>
  <c r="H82" i="1"/>
  <c r="CY81" i="1"/>
  <c r="CV81" i="1"/>
  <c r="CU81" i="1"/>
  <c r="CO81" i="1"/>
  <c r="CN81" i="1"/>
  <c r="CH81" i="1"/>
  <c r="CG81" i="1"/>
  <c r="BV81" i="1"/>
  <c r="BU81" i="1"/>
  <c r="BN81" i="1"/>
  <c r="BG81" i="1"/>
  <c r="BF81" i="1"/>
  <c r="AV81" i="1"/>
  <c r="AP81" i="1"/>
  <c r="AO81" i="1"/>
  <c r="AH81" i="1"/>
  <c r="AG81" i="1"/>
  <c r="P81" i="1"/>
  <c r="O81" i="1"/>
  <c r="I81" i="1"/>
  <c r="H81" i="1"/>
  <c r="CY80" i="1"/>
  <c r="CV80" i="1"/>
  <c r="CU80" i="1"/>
  <c r="CO80" i="1"/>
  <c r="CN80" i="1"/>
  <c r="CH80" i="1"/>
  <c r="CG80" i="1"/>
  <c r="BV80" i="1"/>
  <c r="BU80" i="1"/>
  <c r="BN80" i="1"/>
  <c r="BG80" i="1"/>
  <c r="BF80" i="1"/>
  <c r="AV80" i="1"/>
  <c r="AP80" i="1"/>
  <c r="AO80" i="1"/>
  <c r="AH80" i="1"/>
  <c r="AG80" i="1"/>
  <c r="P80" i="1"/>
  <c r="O80" i="1"/>
  <c r="I80" i="1"/>
  <c r="H80" i="1"/>
  <c r="CY79" i="1"/>
  <c r="CV79" i="1"/>
  <c r="CU79" i="1"/>
  <c r="CO79" i="1"/>
  <c r="CN79" i="1"/>
  <c r="CH79" i="1"/>
  <c r="CG79" i="1"/>
  <c r="BV79" i="1"/>
  <c r="BU79" i="1"/>
  <c r="BN79" i="1"/>
  <c r="BG79" i="1"/>
  <c r="BF79" i="1"/>
  <c r="AV79" i="1"/>
  <c r="AP79" i="1"/>
  <c r="AO79" i="1"/>
  <c r="AH79" i="1"/>
  <c r="AG79" i="1"/>
  <c r="P79" i="1"/>
  <c r="O79" i="1"/>
  <c r="I79" i="1"/>
  <c r="H79" i="1"/>
  <c r="CY78" i="1"/>
  <c r="CV78" i="1"/>
  <c r="CU78" i="1"/>
  <c r="CO78" i="1"/>
  <c r="CN78" i="1"/>
  <c r="CH78" i="1"/>
  <c r="CG78" i="1"/>
  <c r="BV78" i="1"/>
  <c r="BU78" i="1"/>
  <c r="BN78" i="1"/>
  <c r="BG78" i="1"/>
  <c r="BF78" i="1"/>
  <c r="AV78" i="1"/>
  <c r="AP78" i="1"/>
  <c r="AO78" i="1"/>
  <c r="AH78" i="1"/>
  <c r="AG78" i="1"/>
  <c r="P78" i="1"/>
  <c r="O78" i="1"/>
  <c r="I78" i="1"/>
  <c r="H78" i="1"/>
  <c r="CY77" i="1"/>
  <c r="CV77" i="1"/>
  <c r="CU77" i="1"/>
  <c r="CO77" i="1"/>
  <c r="CN77" i="1"/>
  <c r="CH77" i="1"/>
  <c r="CG77" i="1"/>
  <c r="BV77" i="1"/>
  <c r="BU77" i="1"/>
  <c r="BN77" i="1"/>
  <c r="BG77" i="1"/>
  <c r="BF77" i="1"/>
  <c r="AV77" i="1"/>
  <c r="AP77" i="1"/>
  <c r="AO77" i="1"/>
  <c r="AH77" i="1"/>
  <c r="AG77" i="1"/>
  <c r="P77" i="1"/>
  <c r="O77" i="1"/>
  <c r="I77" i="1"/>
  <c r="H77" i="1"/>
  <c r="CY76" i="1"/>
  <c r="CV76" i="1"/>
  <c r="CU76" i="1"/>
  <c r="CO76" i="1"/>
  <c r="CN76" i="1"/>
  <c r="CH76" i="1"/>
  <c r="CG76" i="1"/>
  <c r="BV76" i="1"/>
  <c r="BU76" i="1"/>
  <c r="BN76" i="1"/>
  <c r="BG76" i="1"/>
  <c r="BF76" i="1"/>
  <c r="AV76" i="1"/>
  <c r="AP76" i="1"/>
  <c r="AO76" i="1"/>
  <c r="AH76" i="1"/>
  <c r="AG76" i="1"/>
  <c r="P76" i="1"/>
  <c r="O76" i="1"/>
  <c r="I76" i="1"/>
  <c r="H76" i="1"/>
  <c r="CY75" i="1"/>
  <c r="CV75" i="1"/>
  <c r="CU75" i="1"/>
  <c r="CO75" i="1"/>
  <c r="CN75" i="1"/>
  <c r="CH75" i="1"/>
  <c r="CG75" i="1"/>
  <c r="BV75" i="1"/>
  <c r="BU75" i="1"/>
  <c r="BN75" i="1"/>
  <c r="BG75" i="1"/>
  <c r="BF75" i="1"/>
  <c r="AV75" i="1"/>
  <c r="AP75" i="1"/>
  <c r="AO75" i="1"/>
  <c r="AH75" i="1"/>
  <c r="AG75" i="1"/>
  <c r="P75" i="1"/>
  <c r="O75" i="1"/>
  <c r="I75" i="1"/>
  <c r="H75" i="1"/>
  <c r="CY74" i="1"/>
  <c r="CV74" i="1"/>
  <c r="CU74" i="1"/>
  <c r="CO74" i="1"/>
  <c r="CN74" i="1"/>
  <c r="CH74" i="1"/>
  <c r="CG74" i="1"/>
  <c r="BV74" i="1"/>
  <c r="BU74" i="1"/>
  <c r="BN74" i="1"/>
  <c r="BG74" i="1"/>
  <c r="BF74" i="1"/>
  <c r="AV74" i="1"/>
  <c r="AP74" i="1"/>
  <c r="AO74" i="1"/>
  <c r="AH74" i="1"/>
  <c r="AG74" i="1"/>
  <c r="P74" i="1"/>
  <c r="O74" i="1"/>
  <c r="I74" i="1"/>
  <c r="H74" i="1"/>
  <c r="CY73" i="1"/>
  <c r="CV73" i="1"/>
  <c r="CU73" i="1"/>
  <c r="CO73" i="1"/>
  <c r="CN73" i="1"/>
  <c r="CH73" i="1"/>
  <c r="CG73" i="1"/>
  <c r="BV73" i="1"/>
  <c r="BU73" i="1"/>
  <c r="BN73" i="1"/>
  <c r="BG73" i="1"/>
  <c r="BF73" i="1"/>
  <c r="AV73" i="1"/>
  <c r="AP73" i="1"/>
  <c r="AO73" i="1"/>
  <c r="AH73" i="1"/>
  <c r="AG73" i="1"/>
  <c r="P73" i="1"/>
  <c r="O73" i="1"/>
  <c r="I73" i="1"/>
  <c r="H73" i="1"/>
  <c r="CY72" i="1"/>
  <c r="CV72" i="1"/>
  <c r="CU72" i="1"/>
  <c r="CO72" i="1"/>
  <c r="CN72" i="1"/>
  <c r="CH72" i="1"/>
  <c r="CG72" i="1"/>
  <c r="BV72" i="1"/>
  <c r="BU72" i="1"/>
  <c r="BN72" i="1"/>
  <c r="BG72" i="1"/>
  <c r="BF72" i="1"/>
  <c r="AV72" i="1"/>
  <c r="AP72" i="1"/>
  <c r="AO72" i="1"/>
  <c r="AH72" i="1"/>
  <c r="AG72" i="1"/>
  <c r="P72" i="1"/>
  <c r="O72" i="1"/>
  <c r="I72" i="1"/>
  <c r="H72" i="1"/>
  <c r="CY71" i="1"/>
  <c r="CV71" i="1"/>
  <c r="CU71" i="1"/>
  <c r="CO71" i="1"/>
  <c r="CN71" i="1"/>
  <c r="CH71" i="1"/>
  <c r="CG71" i="1"/>
  <c r="BV71" i="1"/>
  <c r="BU71" i="1"/>
  <c r="BN71" i="1"/>
  <c r="BG71" i="1"/>
  <c r="BF71" i="1"/>
  <c r="AV71" i="1"/>
  <c r="AP71" i="1"/>
  <c r="AO71" i="1"/>
  <c r="AH71" i="1"/>
  <c r="AG71" i="1"/>
  <c r="P71" i="1"/>
  <c r="O71" i="1"/>
  <c r="I71" i="1"/>
  <c r="H71" i="1"/>
  <c r="CY70" i="1"/>
  <c r="CV70" i="1"/>
  <c r="CU70" i="1"/>
  <c r="CO70" i="1"/>
  <c r="CN70" i="1"/>
  <c r="CH70" i="1"/>
  <c r="CG70" i="1"/>
  <c r="BV70" i="1"/>
  <c r="BU70" i="1"/>
  <c r="BN70" i="1"/>
  <c r="BG70" i="1"/>
  <c r="BF70" i="1"/>
  <c r="AV70" i="1"/>
  <c r="AP70" i="1"/>
  <c r="AO70" i="1"/>
  <c r="AH70" i="1"/>
  <c r="AG70" i="1"/>
  <c r="P70" i="1"/>
  <c r="O70" i="1"/>
  <c r="I70" i="1"/>
  <c r="H70" i="1"/>
  <c r="CY69" i="1"/>
  <c r="CV69" i="1"/>
  <c r="CU69" i="1"/>
  <c r="CO69" i="1"/>
  <c r="CN69" i="1"/>
  <c r="CH69" i="1"/>
  <c r="CG69" i="1"/>
  <c r="BV69" i="1"/>
  <c r="BU69" i="1"/>
  <c r="BN69" i="1"/>
  <c r="BG69" i="1"/>
  <c r="BF69" i="1"/>
  <c r="AV69" i="1"/>
  <c r="AP69" i="1"/>
  <c r="AO69" i="1"/>
  <c r="AH69" i="1"/>
  <c r="AG69" i="1"/>
  <c r="P69" i="1"/>
  <c r="O69" i="1"/>
  <c r="I69" i="1"/>
  <c r="H69" i="1"/>
  <c r="CY68" i="1"/>
  <c r="CV68" i="1"/>
  <c r="CU68" i="1"/>
  <c r="CO68" i="1"/>
  <c r="CN68" i="1"/>
  <c r="CH68" i="1"/>
  <c r="CG68" i="1"/>
  <c r="BV68" i="1"/>
  <c r="BU68" i="1"/>
  <c r="BN68" i="1"/>
  <c r="BG68" i="1"/>
  <c r="BF68" i="1"/>
  <c r="AV68" i="1"/>
  <c r="AP68" i="1"/>
  <c r="AO68" i="1"/>
  <c r="AH68" i="1"/>
  <c r="AG68" i="1"/>
  <c r="P68" i="1"/>
  <c r="O68" i="1"/>
  <c r="I68" i="1"/>
  <c r="H68" i="1"/>
  <c r="CY67" i="1"/>
  <c r="CV67" i="1"/>
  <c r="CU67" i="1"/>
  <c r="CO67" i="1"/>
  <c r="CN67" i="1"/>
  <c r="CH67" i="1"/>
  <c r="CG67" i="1"/>
  <c r="BV67" i="1"/>
  <c r="BU67" i="1"/>
  <c r="BN67" i="1"/>
  <c r="BG67" i="1"/>
  <c r="BF67" i="1"/>
  <c r="AV67" i="1"/>
  <c r="AP67" i="1"/>
  <c r="AO67" i="1"/>
  <c r="AH67" i="1"/>
  <c r="AG67" i="1"/>
  <c r="P67" i="1"/>
  <c r="O67" i="1"/>
  <c r="I67" i="1"/>
  <c r="H67" i="1"/>
  <c r="CY66" i="1"/>
  <c r="CV66" i="1"/>
  <c r="CU66" i="1"/>
  <c r="CO66" i="1"/>
  <c r="CN66" i="1"/>
  <c r="CH66" i="1"/>
  <c r="CG66" i="1"/>
  <c r="BV66" i="1"/>
  <c r="BU66" i="1"/>
  <c r="BN66" i="1"/>
  <c r="BG66" i="1"/>
  <c r="BF66" i="1"/>
  <c r="AV66" i="1"/>
  <c r="AP66" i="1"/>
  <c r="AO66" i="1"/>
  <c r="AH66" i="1"/>
  <c r="AG66" i="1"/>
  <c r="P66" i="1"/>
  <c r="O66" i="1"/>
  <c r="I66" i="1"/>
  <c r="H66" i="1"/>
  <c r="CY65" i="1"/>
  <c r="CV65" i="1"/>
  <c r="CU65" i="1"/>
  <c r="CO65" i="1"/>
  <c r="CN65" i="1"/>
  <c r="CH65" i="1"/>
  <c r="CG65" i="1"/>
  <c r="BV65" i="1"/>
  <c r="BU65" i="1"/>
  <c r="BN65" i="1"/>
  <c r="BG65" i="1"/>
  <c r="BF65" i="1"/>
  <c r="AV65" i="1"/>
  <c r="AP65" i="1"/>
  <c r="AO65" i="1"/>
  <c r="AH65" i="1"/>
  <c r="AG65" i="1"/>
  <c r="P65" i="1"/>
  <c r="O65" i="1"/>
  <c r="I65" i="1"/>
  <c r="H65" i="1"/>
  <c r="CY64" i="1"/>
  <c r="CV64" i="1"/>
  <c r="CU64" i="1"/>
  <c r="CO64" i="1"/>
  <c r="CN64" i="1"/>
  <c r="CH64" i="1"/>
  <c r="CG64" i="1"/>
  <c r="BV64" i="1"/>
  <c r="BU64" i="1"/>
  <c r="BN64" i="1"/>
  <c r="BG64" i="1"/>
  <c r="BF64" i="1"/>
  <c r="AV64" i="1"/>
  <c r="AP64" i="1"/>
  <c r="AO64" i="1"/>
  <c r="AH64" i="1"/>
  <c r="AG64" i="1"/>
  <c r="P64" i="1"/>
  <c r="O64" i="1"/>
  <c r="I64" i="1"/>
  <c r="H64" i="1"/>
  <c r="CY63" i="1"/>
  <c r="CV63" i="1"/>
  <c r="CU63" i="1"/>
  <c r="CO63" i="1"/>
  <c r="CN63" i="1"/>
  <c r="CH63" i="1"/>
  <c r="CG63" i="1"/>
  <c r="BV63" i="1"/>
  <c r="BU63" i="1"/>
  <c r="BN63" i="1"/>
  <c r="BG63" i="1"/>
  <c r="BF63" i="1"/>
  <c r="AV63" i="1"/>
  <c r="AP63" i="1"/>
  <c r="AO63" i="1"/>
  <c r="AH63" i="1"/>
  <c r="AG63" i="1"/>
  <c r="P63" i="1"/>
  <c r="O63" i="1"/>
  <c r="I63" i="1"/>
  <c r="H63" i="1"/>
  <c r="CY62" i="1"/>
  <c r="CV62" i="1"/>
  <c r="CU62" i="1"/>
  <c r="CO62" i="1"/>
  <c r="CN62" i="1"/>
  <c r="CH62" i="1"/>
  <c r="CG62" i="1"/>
  <c r="BV62" i="1"/>
  <c r="BU62" i="1"/>
  <c r="BN62" i="1"/>
  <c r="BG62" i="1"/>
  <c r="BF62" i="1"/>
  <c r="AV62" i="1"/>
  <c r="AP62" i="1"/>
  <c r="AO62" i="1"/>
  <c r="AH62" i="1"/>
  <c r="AG62" i="1"/>
  <c r="P62" i="1"/>
  <c r="O62" i="1"/>
  <c r="I62" i="1"/>
  <c r="H62" i="1"/>
  <c r="CY61" i="1"/>
  <c r="CV61" i="1"/>
  <c r="CU61" i="1"/>
  <c r="CO61" i="1"/>
  <c r="CN61" i="1"/>
  <c r="CH61" i="1"/>
  <c r="CG61" i="1"/>
  <c r="BV61" i="1"/>
  <c r="BU61" i="1"/>
  <c r="BN61" i="1"/>
  <c r="BG61" i="1"/>
  <c r="BF61" i="1"/>
  <c r="AV61" i="1"/>
  <c r="AP61" i="1"/>
  <c r="AO61" i="1"/>
  <c r="AH61" i="1"/>
  <c r="AG61" i="1"/>
  <c r="P61" i="1"/>
  <c r="O61" i="1"/>
  <c r="I61" i="1"/>
  <c r="H61" i="1"/>
  <c r="CY60" i="1"/>
  <c r="CV60" i="1"/>
  <c r="CU60" i="1"/>
  <c r="CO60" i="1"/>
  <c r="CN60" i="1"/>
  <c r="CH60" i="1"/>
  <c r="CG60" i="1"/>
  <c r="BV60" i="1"/>
  <c r="BU60" i="1"/>
  <c r="BN60" i="1"/>
  <c r="BG60" i="1"/>
  <c r="BF60" i="1"/>
  <c r="AV60" i="1"/>
  <c r="AP60" i="1"/>
  <c r="AO60" i="1"/>
  <c r="AH60" i="1"/>
  <c r="AG60" i="1"/>
  <c r="P60" i="1"/>
  <c r="O60" i="1"/>
  <c r="I60" i="1"/>
  <c r="H60" i="1"/>
  <c r="CY59" i="1"/>
  <c r="CV59" i="1"/>
  <c r="CU59" i="1"/>
  <c r="CO59" i="1"/>
  <c r="CN59" i="1"/>
  <c r="CH59" i="1"/>
  <c r="CG59" i="1"/>
  <c r="BV59" i="1"/>
  <c r="BU59" i="1"/>
  <c r="BN59" i="1"/>
  <c r="BG59" i="1"/>
  <c r="BF59" i="1"/>
  <c r="AV59" i="1"/>
  <c r="AP59" i="1"/>
  <c r="AO59" i="1"/>
  <c r="AH59" i="1"/>
  <c r="AG59" i="1"/>
  <c r="P59" i="1"/>
  <c r="O59" i="1"/>
  <c r="I59" i="1"/>
  <c r="H59" i="1"/>
  <c r="CY58" i="1"/>
  <c r="CV58" i="1"/>
  <c r="CU58" i="1"/>
  <c r="CO58" i="1"/>
  <c r="CN58" i="1"/>
  <c r="CH58" i="1"/>
  <c r="CG58" i="1"/>
  <c r="BV58" i="1"/>
  <c r="BU58" i="1"/>
  <c r="BN58" i="1"/>
  <c r="BG58" i="1"/>
  <c r="BF58" i="1"/>
  <c r="AV58" i="1"/>
  <c r="AP58" i="1"/>
  <c r="AO58" i="1"/>
  <c r="AH58" i="1"/>
  <c r="AG58" i="1"/>
  <c r="P58" i="1"/>
  <c r="O58" i="1"/>
  <c r="I58" i="1"/>
  <c r="H58" i="1"/>
  <c r="CY57" i="1"/>
  <c r="CV57" i="1"/>
  <c r="CU57" i="1"/>
  <c r="CO57" i="1"/>
  <c r="CN57" i="1"/>
  <c r="CH57" i="1"/>
  <c r="CG57" i="1"/>
  <c r="BV57" i="1"/>
  <c r="BU57" i="1"/>
  <c r="BN57" i="1"/>
  <c r="BG57" i="1"/>
  <c r="BF57" i="1"/>
  <c r="AV57" i="1"/>
  <c r="AP57" i="1"/>
  <c r="AO57" i="1"/>
  <c r="AH57" i="1"/>
  <c r="AG57" i="1"/>
  <c r="P57" i="1"/>
  <c r="O57" i="1"/>
  <c r="I57" i="1"/>
  <c r="H57" i="1"/>
  <c r="CY56" i="1"/>
  <c r="CV56" i="1"/>
  <c r="CU56" i="1"/>
  <c r="CO56" i="1"/>
  <c r="CN56" i="1"/>
  <c r="CH56" i="1"/>
  <c r="CG56" i="1"/>
  <c r="BV56" i="1"/>
  <c r="BU56" i="1"/>
  <c r="BN56" i="1"/>
  <c r="BG56" i="1"/>
  <c r="BF56" i="1"/>
  <c r="AV56" i="1"/>
  <c r="AP56" i="1"/>
  <c r="AO56" i="1"/>
  <c r="AH56" i="1"/>
  <c r="AG56" i="1"/>
  <c r="P56" i="1"/>
  <c r="O56" i="1"/>
  <c r="I56" i="1"/>
  <c r="H56" i="1"/>
  <c r="CY55" i="1"/>
  <c r="CV55" i="1"/>
  <c r="CU55" i="1"/>
  <c r="CO55" i="1"/>
  <c r="CN55" i="1"/>
  <c r="CH55" i="1"/>
  <c r="CG55" i="1"/>
  <c r="BV55" i="1"/>
  <c r="BU55" i="1"/>
  <c r="BN55" i="1"/>
  <c r="BG55" i="1"/>
  <c r="BF55" i="1"/>
  <c r="AV55" i="1"/>
  <c r="AP55" i="1"/>
  <c r="AO55" i="1"/>
  <c r="AH55" i="1"/>
  <c r="AG55" i="1"/>
  <c r="P55" i="1"/>
  <c r="O55" i="1"/>
  <c r="I55" i="1"/>
  <c r="H55" i="1"/>
  <c r="CY54" i="1"/>
  <c r="CV54" i="1"/>
  <c r="CU54" i="1"/>
  <c r="CO54" i="1"/>
  <c r="CN54" i="1"/>
  <c r="CH54" i="1"/>
  <c r="CG54" i="1"/>
  <c r="BV54" i="1"/>
  <c r="BU54" i="1"/>
  <c r="BN54" i="1"/>
  <c r="BG54" i="1"/>
  <c r="BF54" i="1"/>
  <c r="AV54" i="1"/>
  <c r="AP54" i="1"/>
  <c r="AO54" i="1"/>
  <c r="AH54" i="1"/>
  <c r="AG54" i="1"/>
  <c r="P54" i="1"/>
  <c r="O54" i="1"/>
  <c r="I54" i="1"/>
  <c r="H54" i="1"/>
  <c r="CY53" i="1"/>
  <c r="CV53" i="1"/>
  <c r="CU53" i="1"/>
  <c r="CO53" i="1"/>
  <c r="CN53" i="1"/>
  <c r="CH53" i="1"/>
  <c r="CG53" i="1"/>
  <c r="BV53" i="1"/>
  <c r="BU53" i="1"/>
  <c r="BN53" i="1"/>
  <c r="BG53" i="1"/>
  <c r="BF53" i="1"/>
  <c r="AV53" i="1"/>
  <c r="AP53" i="1"/>
  <c r="AO53" i="1"/>
  <c r="AH53" i="1"/>
  <c r="AG53" i="1"/>
  <c r="P53" i="1"/>
  <c r="O53" i="1"/>
  <c r="I53" i="1"/>
  <c r="H53" i="1"/>
  <c r="CY52" i="1"/>
  <c r="CV52" i="1"/>
  <c r="CU52" i="1"/>
  <c r="CO52" i="1"/>
  <c r="CN52" i="1"/>
  <c r="CH52" i="1"/>
  <c r="CG52" i="1"/>
  <c r="BV52" i="1"/>
  <c r="BU52" i="1"/>
  <c r="BN52" i="1"/>
  <c r="BG52" i="1"/>
  <c r="BF52" i="1"/>
  <c r="AV52" i="1"/>
  <c r="AP52" i="1"/>
  <c r="AO52" i="1"/>
  <c r="AH52" i="1"/>
  <c r="AG52" i="1"/>
  <c r="P52" i="1"/>
  <c r="O52" i="1"/>
  <c r="I52" i="1"/>
  <c r="H52" i="1"/>
  <c r="CY51" i="1"/>
  <c r="CV51" i="1"/>
  <c r="CU51" i="1"/>
  <c r="CO51" i="1"/>
  <c r="CN51" i="1"/>
  <c r="CH51" i="1"/>
  <c r="CG51" i="1"/>
  <c r="BV51" i="1"/>
  <c r="BU51" i="1"/>
  <c r="BN51" i="1"/>
  <c r="BG51" i="1"/>
  <c r="BF51" i="1"/>
  <c r="AV51" i="1"/>
  <c r="AP51" i="1"/>
  <c r="AO51" i="1"/>
  <c r="AH51" i="1"/>
  <c r="AG51" i="1"/>
  <c r="P51" i="1"/>
  <c r="O51" i="1"/>
  <c r="I51" i="1"/>
  <c r="H51" i="1"/>
  <c r="CY50" i="1"/>
  <c r="CV50" i="1"/>
  <c r="CU50" i="1"/>
  <c r="CO50" i="1"/>
  <c r="CN50" i="1"/>
  <c r="CH50" i="1"/>
  <c r="CG50" i="1"/>
  <c r="BV50" i="1"/>
  <c r="BU50" i="1"/>
  <c r="BN50" i="1"/>
  <c r="BG50" i="1"/>
  <c r="BF50" i="1"/>
  <c r="AV50" i="1"/>
  <c r="AP50" i="1"/>
  <c r="AO50" i="1"/>
  <c r="AH50" i="1"/>
  <c r="AG50" i="1"/>
  <c r="P50" i="1"/>
  <c r="O50" i="1"/>
  <c r="I50" i="1"/>
  <c r="H50" i="1"/>
  <c r="CY49" i="1"/>
  <c r="CV49" i="1"/>
  <c r="CU49" i="1"/>
  <c r="CO49" i="1"/>
  <c r="CN49" i="1"/>
  <c r="CH49" i="1"/>
  <c r="CG49" i="1"/>
  <c r="BV49" i="1"/>
  <c r="BU49" i="1"/>
  <c r="BN49" i="1"/>
  <c r="BG49" i="1"/>
  <c r="BF49" i="1"/>
  <c r="AV49" i="1"/>
  <c r="AP49" i="1"/>
  <c r="AO49" i="1"/>
  <c r="AH49" i="1"/>
  <c r="AG49" i="1"/>
  <c r="P49" i="1"/>
  <c r="O49" i="1"/>
  <c r="I49" i="1"/>
  <c r="H49" i="1"/>
  <c r="CY48" i="1"/>
  <c r="CV48" i="1"/>
  <c r="CU48" i="1"/>
  <c r="CO48" i="1"/>
  <c r="CN48" i="1"/>
  <c r="CH48" i="1"/>
  <c r="CG48" i="1"/>
  <c r="BV48" i="1"/>
  <c r="BU48" i="1"/>
  <c r="BN48" i="1"/>
  <c r="BG48" i="1"/>
  <c r="BF48" i="1"/>
  <c r="AV48" i="1"/>
  <c r="AP48" i="1"/>
  <c r="AO48" i="1"/>
  <c r="AH48" i="1"/>
  <c r="AG48" i="1"/>
  <c r="P48" i="1"/>
  <c r="O48" i="1"/>
  <c r="I48" i="1"/>
  <c r="H48" i="1"/>
  <c r="CY47" i="1"/>
  <c r="CV47" i="1"/>
  <c r="CU47" i="1"/>
  <c r="CO47" i="1"/>
  <c r="CN47" i="1"/>
  <c r="CH47" i="1"/>
  <c r="CG47" i="1"/>
  <c r="BV47" i="1"/>
  <c r="BU47" i="1"/>
  <c r="BN47" i="1"/>
  <c r="BG47" i="1"/>
  <c r="BF47" i="1"/>
  <c r="AV47" i="1"/>
  <c r="AP47" i="1"/>
  <c r="AO47" i="1"/>
  <c r="AH47" i="1"/>
  <c r="AG47" i="1"/>
  <c r="P47" i="1"/>
  <c r="O47" i="1"/>
  <c r="I47" i="1"/>
  <c r="H47" i="1"/>
  <c r="CY46" i="1"/>
  <c r="CV46" i="1"/>
  <c r="CU46" i="1"/>
  <c r="CO46" i="1"/>
  <c r="CN46" i="1"/>
  <c r="CH46" i="1"/>
  <c r="CG46" i="1"/>
  <c r="BV46" i="1"/>
  <c r="BU46" i="1"/>
  <c r="BN46" i="1"/>
  <c r="BG46" i="1"/>
  <c r="BF46" i="1"/>
  <c r="AV46" i="1"/>
  <c r="AP46" i="1"/>
  <c r="AO46" i="1"/>
  <c r="AH46" i="1"/>
  <c r="AG46" i="1"/>
  <c r="P46" i="1"/>
  <c r="O46" i="1"/>
  <c r="I46" i="1"/>
  <c r="H46" i="1"/>
  <c r="CY45" i="1"/>
  <c r="CV45" i="1"/>
  <c r="CU45" i="1"/>
  <c r="CO45" i="1"/>
  <c r="CN45" i="1"/>
  <c r="CH45" i="1"/>
  <c r="CG45" i="1"/>
  <c r="BV45" i="1"/>
  <c r="BU45" i="1"/>
  <c r="BN45" i="1"/>
  <c r="BG45" i="1"/>
  <c r="BF45" i="1"/>
  <c r="AV45" i="1"/>
  <c r="AP45" i="1"/>
  <c r="AO45" i="1"/>
  <c r="AH45" i="1"/>
  <c r="AG45" i="1"/>
  <c r="P45" i="1"/>
  <c r="O45" i="1"/>
  <c r="I45" i="1"/>
  <c r="H45" i="1"/>
  <c r="CY44" i="1"/>
  <c r="CV44" i="1"/>
  <c r="CU44" i="1"/>
  <c r="CO44" i="1"/>
  <c r="CN44" i="1"/>
  <c r="CH44" i="1"/>
  <c r="CG44" i="1"/>
  <c r="BV44" i="1"/>
  <c r="BU44" i="1"/>
  <c r="BN44" i="1"/>
  <c r="BG44" i="1"/>
  <c r="BF44" i="1"/>
  <c r="AV44" i="1"/>
  <c r="AP44" i="1"/>
  <c r="AO44" i="1"/>
  <c r="AH44" i="1"/>
  <c r="AG44" i="1"/>
  <c r="P44" i="1"/>
  <c r="O44" i="1"/>
  <c r="I44" i="1"/>
  <c r="H44" i="1"/>
  <c r="CY43" i="1"/>
  <c r="CV43" i="1"/>
  <c r="CU43" i="1"/>
  <c r="CO43" i="1"/>
  <c r="CN43" i="1"/>
  <c r="CH43" i="1"/>
  <c r="CG43" i="1"/>
  <c r="BV43" i="1"/>
  <c r="BU43" i="1"/>
  <c r="BN43" i="1"/>
  <c r="BG43" i="1"/>
  <c r="BF43" i="1"/>
  <c r="AV43" i="1"/>
  <c r="AP43" i="1"/>
  <c r="AO43" i="1"/>
  <c r="AH43" i="1"/>
  <c r="AG43" i="1"/>
  <c r="P43" i="1"/>
  <c r="O43" i="1"/>
  <c r="I43" i="1"/>
  <c r="H43" i="1"/>
  <c r="CY29" i="1"/>
  <c r="CV29" i="1"/>
  <c r="CU29" i="1"/>
  <c r="CO29" i="1"/>
  <c r="CN29" i="1"/>
  <c r="CH29" i="1"/>
  <c r="CG29" i="1"/>
  <c r="BV29" i="1"/>
  <c r="BU29" i="1"/>
  <c r="BN29" i="1"/>
  <c r="BG29" i="1"/>
  <c r="BF29" i="1"/>
  <c r="AV29" i="1"/>
  <c r="AP29" i="1"/>
  <c r="AO29" i="1"/>
  <c r="AH29" i="1"/>
  <c r="AG29" i="1"/>
  <c r="P29" i="1"/>
  <c r="O29" i="1"/>
  <c r="I29" i="1"/>
  <c r="H29" i="1"/>
  <c r="CY42" i="1"/>
  <c r="CV42" i="1"/>
  <c r="CU42" i="1"/>
  <c r="CO42" i="1"/>
  <c r="CN42" i="1"/>
  <c r="CH42" i="1"/>
  <c r="CG42" i="1"/>
  <c r="BV42" i="1"/>
  <c r="BU42" i="1"/>
  <c r="BN42" i="1"/>
  <c r="BG42" i="1"/>
  <c r="BF42" i="1"/>
  <c r="AV42" i="1"/>
  <c r="AP42" i="1"/>
  <c r="AO42" i="1"/>
  <c r="AH42" i="1"/>
  <c r="AG42" i="1"/>
  <c r="P42" i="1"/>
  <c r="O42" i="1"/>
  <c r="I42" i="1"/>
  <c r="H42" i="1"/>
  <c r="CY28" i="1"/>
  <c r="CV28" i="1"/>
  <c r="CU28" i="1"/>
  <c r="CO28" i="1"/>
  <c r="CN28" i="1"/>
  <c r="CH28" i="1"/>
  <c r="CG28" i="1"/>
  <c r="BV28" i="1"/>
  <c r="BU28" i="1"/>
  <c r="BN28" i="1"/>
  <c r="BG28" i="1"/>
  <c r="BF28" i="1"/>
  <c r="AV28" i="1"/>
  <c r="AP28" i="1"/>
  <c r="AO28" i="1"/>
  <c r="AH28" i="1"/>
  <c r="AG28" i="1"/>
  <c r="P28" i="1"/>
  <c r="O28" i="1"/>
  <c r="I28" i="1"/>
  <c r="H28" i="1"/>
  <c r="CY41" i="1"/>
  <c r="CV41" i="1"/>
  <c r="CU41" i="1"/>
  <c r="CO41" i="1"/>
  <c r="CN41" i="1"/>
  <c r="CH41" i="1"/>
  <c r="CG41" i="1"/>
  <c r="BV41" i="1"/>
  <c r="BU41" i="1"/>
  <c r="BN41" i="1"/>
  <c r="BG41" i="1"/>
  <c r="BF41" i="1"/>
  <c r="AV41" i="1"/>
  <c r="AP41" i="1"/>
  <c r="AO41" i="1"/>
  <c r="AH41" i="1"/>
  <c r="AG41" i="1"/>
  <c r="P41" i="1"/>
  <c r="O41" i="1"/>
  <c r="I41" i="1"/>
  <c r="H41" i="1"/>
  <c r="CY40" i="1"/>
  <c r="CV40" i="1"/>
  <c r="CU40" i="1"/>
  <c r="CO40" i="1"/>
  <c r="CN40" i="1"/>
  <c r="CH40" i="1"/>
  <c r="CG40" i="1"/>
  <c r="BV40" i="1"/>
  <c r="BU40" i="1"/>
  <c r="BN40" i="1"/>
  <c r="BG40" i="1"/>
  <c r="BF40" i="1"/>
  <c r="AV40" i="1"/>
  <c r="AP40" i="1"/>
  <c r="AO40" i="1"/>
  <c r="AH40" i="1"/>
  <c r="AG40" i="1"/>
  <c r="P40" i="1"/>
  <c r="O40" i="1"/>
  <c r="I40" i="1"/>
  <c r="H40" i="1"/>
  <c r="CY39" i="1"/>
  <c r="CV39" i="1"/>
  <c r="CU39" i="1"/>
  <c r="CO39" i="1"/>
  <c r="CN39" i="1"/>
  <c r="CH39" i="1"/>
  <c r="CG39" i="1"/>
  <c r="BV39" i="1"/>
  <c r="BU39" i="1"/>
  <c r="BN39" i="1"/>
  <c r="BG39" i="1"/>
  <c r="BF39" i="1"/>
  <c r="AV39" i="1"/>
  <c r="AP39" i="1"/>
  <c r="AO39" i="1"/>
  <c r="AH39" i="1"/>
  <c r="AG39" i="1"/>
  <c r="P39" i="1"/>
  <c r="O39" i="1"/>
  <c r="I39" i="1"/>
  <c r="H39" i="1"/>
  <c r="CY38" i="1"/>
  <c r="CV38" i="1"/>
  <c r="CU38" i="1"/>
  <c r="CO38" i="1"/>
  <c r="CN38" i="1"/>
  <c r="CH38" i="1"/>
  <c r="CG38" i="1"/>
  <c r="BV38" i="1"/>
  <c r="BU38" i="1"/>
  <c r="BN38" i="1"/>
  <c r="BG38" i="1"/>
  <c r="BF38" i="1"/>
  <c r="AV38" i="1"/>
  <c r="AP38" i="1"/>
  <c r="AO38" i="1"/>
  <c r="AH38" i="1"/>
  <c r="AG38" i="1"/>
  <c r="P38" i="1"/>
  <c r="O38" i="1"/>
  <c r="I38" i="1"/>
  <c r="H38" i="1"/>
  <c r="CY37" i="1"/>
  <c r="CV37" i="1"/>
  <c r="CU37" i="1"/>
  <c r="CO37" i="1"/>
  <c r="CN37" i="1"/>
  <c r="CH37" i="1"/>
  <c r="CG37" i="1"/>
  <c r="BV37" i="1"/>
  <c r="BU37" i="1"/>
  <c r="BN37" i="1"/>
  <c r="BG37" i="1"/>
  <c r="BF37" i="1"/>
  <c r="AV37" i="1"/>
  <c r="AP37" i="1"/>
  <c r="AO37" i="1"/>
  <c r="AH37" i="1"/>
  <c r="AG37" i="1"/>
  <c r="P37" i="1"/>
  <c r="O37" i="1"/>
  <c r="I37" i="1"/>
  <c r="H37" i="1"/>
  <c r="CY34" i="1"/>
  <c r="CV34" i="1"/>
  <c r="CU34" i="1"/>
  <c r="CO34" i="1"/>
  <c r="CN34" i="1"/>
  <c r="CH34" i="1"/>
  <c r="CG34" i="1"/>
  <c r="BV34" i="1"/>
  <c r="BU34" i="1"/>
  <c r="BN34" i="1"/>
  <c r="BG34" i="1"/>
  <c r="BF34" i="1"/>
  <c r="AV34" i="1"/>
  <c r="AP34" i="1"/>
  <c r="AO34" i="1"/>
  <c r="AH34" i="1"/>
  <c r="AG34" i="1"/>
  <c r="P34" i="1"/>
  <c r="O34" i="1"/>
  <c r="I34" i="1"/>
  <c r="H34" i="1"/>
  <c r="CY33" i="1"/>
  <c r="CV33" i="1"/>
  <c r="CU33" i="1"/>
  <c r="CO33" i="1"/>
  <c r="CN33" i="1"/>
  <c r="CH33" i="1"/>
  <c r="CG33" i="1"/>
  <c r="BV33" i="1"/>
  <c r="BU33" i="1"/>
  <c r="BN33" i="1"/>
  <c r="BG33" i="1"/>
  <c r="BF33" i="1"/>
  <c r="AV33" i="1"/>
  <c r="AP33" i="1"/>
  <c r="AO33" i="1"/>
  <c r="AH33" i="1"/>
  <c r="AG33" i="1"/>
  <c r="P33" i="1"/>
  <c r="O33" i="1"/>
  <c r="I33" i="1"/>
  <c r="H33" i="1"/>
  <c r="CY32" i="1"/>
  <c r="CV32" i="1"/>
  <c r="CU32" i="1"/>
  <c r="CO32" i="1"/>
  <c r="CN32" i="1"/>
  <c r="CH32" i="1"/>
  <c r="CG32" i="1"/>
  <c r="BV32" i="1"/>
  <c r="BU32" i="1"/>
  <c r="BN32" i="1"/>
  <c r="BG32" i="1"/>
  <c r="BF32" i="1"/>
  <c r="AV32" i="1"/>
  <c r="AP32" i="1"/>
  <c r="AO32" i="1"/>
  <c r="AH32" i="1"/>
  <c r="AG32" i="1"/>
  <c r="P32" i="1"/>
  <c r="O32" i="1"/>
  <c r="I32" i="1"/>
  <c r="H32" i="1"/>
  <c r="CY31" i="1"/>
  <c r="CV31" i="1"/>
  <c r="CU31" i="1"/>
  <c r="CO31" i="1"/>
  <c r="CN31" i="1"/>
  <c r="CH31" i="1"/>
  <c r="CG31" i="1"/>
  <c r="BV31" i="1"/>
  <c r="BU31" i="1"/>
  <c r="BN31" i="1"/>
  <c r="BG31" i="1"/>
  <c r="BF31" i="1"/>
  <c r="AV31" i="1"/>
  <c r="AP31" i="1"/>
  <c r="AO31" i="1"/>
  <c r="AH31" i="1"/>
  <c r="AG31" i="1"/>
  <c r="P31" i="1"/>
  <c r="O31" i="1"/>
  <c r="I31" i="1"/>
  <c r="H31" i="1"/>
  <c r="CY30" i="1"/>
  <c r="CV30" i="1"/>
  <c r="CU30" i="1"/>
  <c r="CO30" i="1"/>
  <c r="CN30" i="1"/>
  <c r="CH30" i="1"/>
  <c r="CG30" i="1"/>
  <c r="BV30" i="1"/>
  <c r="BU30" i="1"/>
  <c r="BN30" i="1"/>
  <c r="BG30" i="1"/>
  <c r="BF30" i="1"/>
  <c r="AV30" i="1"/>
  <c r="AP30" i="1"/>
  <c r="AO30" i="1"/>
  <c r="AH30" i="1"/>
  <c r="AG30" i="1"/>
  <c r="P30" i="1"/>
  <c r="O30" i="1"/>
  <c r="I30" i="1"/>
  <c r="H30" i="1"/>
  <c r="CY27" i="1"/>
  <c r="CV27" i="1"/>
  <c r="CU27" i="1"/>
  <c r="CO27" i="1"/>
  <c r="CN27" i="1"/>
  <c r="CH27" i="1"/>
  <c r="CG27" i="1"/>
  <c r="BV27" i="1"/>
  <c r="BU27" i="1"/>
  <c r="BN27" i="1"/>
  <c r="BG27" i="1"/>
  <c r="BF27" i="1"/>
  <c r="AV27" i="1"/>
  <c r="AP27" i="1"/>
  <c r="AO27" i="1"/>
  <c r="AH27" i="1"/>
  <c r="AG27" i="1"/>
  <c r="P27" i="1"/>
  <c r="O27" i="1"/>
  <c r="I27" i="1"/>
  <c r="H27" i="1"/>
  <c r="CY26" i="1"/>
  <c r="CV26" i="1"/>
  <c r="CU26" i="1"/>
  <c r="CO26" i="1"/>
  <c r="CN26" i="1"/>
  <c r="CH26" i="1"/>
  <c r="CG26" i="1"/>
  <c r="BV26" i="1"/>
  <c r="BU26" i="1"/>
  <c r="BN26" i="1"/>
  <c r="BG26" i="1"/>
  <c r="BF26" i="1"/>
  <c r="AV26" i="1"/>
  <c r="AP26" i="1"/>
  <c r="AO26" i="1"/>
  <c r="AH26" i="1"/>
  <c r="AG26" i="1"/>
  <c r="P26" i="1"/>
  <c r="O26" i="1"/>
  <c r="I26" i="1"/>
  <c r="H26" i="1"/>
  <c r="CY173" i="1"/>
  <c r="CV173" i="1"/>
  <c r="CU173" i="1"/>
  <c r="CO173" i="1"/>
  <c r="CN173" i="1"/>
  <c r="CH173" i="1"/>
  <c r="CG173" i="1"/>
  <c r="BV173" i="1"/>
  <c r="BU173" i="1"/>
  <c r="BN173" i="1"/>
  <c r="BG173" i="1"/>
  <c r="BF173" i="1"/>
  <c r="AV173" i="1"/>
  <c r="AP173" i="1"/>
  <c r="AO173" i="1"/>
  <c r="AH173" i="1"/>
  <c r="AG173" i="1"/>
  <c r="P173" i="1"/>
  <c r="O173" i="1"/>
  <c r="I173" i="1"/>
  <c r="H173" i="1"/>
  <c r="CY16" i="1"/>
  <c r="CV16" i="1"/>
  <c r="CU16" i="1"/>
  <c r="CO16" i="1"/>
  <c r="CN16" i="1"/>
  <c r="CH16" i="1"/>
  <c r="CG16" i="1"/>
  <c r="BV16" i="1"/>
  <c r="BU16" i="1"/>
  <c r="BN16" i="1"/>
  <c r="BG16" i="1"/>
  <c r="BF16" i="1"/>
  <c r="AV16" i="1"/>
  <c r="AP16" i="1"/>
  <c r="AO16" i="1"/>
  <c r="AH16" i="1"/>
  <c r="AG16" i="1"/>
  <c r="P16" i="1"/>
  <c r="O16" i="1"/>
  <c r="I16" i="1"/>
  <c r="H16" i="1"/>
  <c r="CY25" i="1"/>
  <c r="CV25" i="1"/>
  <c r="CU25" i="1"/>
  <c r="CO25" i="1"/>
  <c r="CN25" i="1"/>
  <c r="CH25" i="1"/>
  <c r="CG25" i="1"/>
  <c r="BV25" i="1"/>
  <c r="BU25" i="1"/>
  <c r="BN25" i="1"/>
  <c r="BG25" i="1"/>
  <c r="BF25" i="1"/>
  <c r="AV25" i="1"/>
  <c r="AP25" i="1"/>
  <c r="AO25" i="1"/>
  <c r="AH25" i="1"/>
  <c r="AG25" i="1"/>
  <c r="P25" i="1"/>
  <c r="O25" i="1"/>
  <c r="I25" i="1"/>
  <c r="H25" i="1"/>
  <c r="CY24" i="1"/>
  <c r="CV24" i="1"/>
  <c r="CU24" i="1"/>
  <c r="CO24" i="1"/>
  <c r="CN24" i="1"/>
  <c r="CH24" i="1"/>
  <c r="CG24" i="1"/>
  <c r="BV24" i="1"/>
  <c r="BU24" i="1"/>
  <c r="BN24" i="1"/>
  <c r="BG24" i="1"/>
  <c r="BF24" i="1"/>
  <c r="AV24" i="1"/>
  <c r="AP24" i="1"/>
  <c r="AO24" i="1"/>
  <c r="AH24" i="1"/>
  <c r="AG24" i="1"/>
  <c r="P24" i="1"/>
  <c r="O24" i="1"/>
  <c r="I24" i="1"/>
  <c r="H24" i="1"/>
  <c r="CY23" i="1"/>
  <c r="CV23" i="1"/>
  <c r="CU23" i="1"/>
  <c r="CO23" i="1"/>
  <c r="CN23" i="1"/>
  <c r="CH23" i="1"/>
  <c r="CG23" i="1"/>
  <c r="BV23" i="1"/>
  <c r="BU23" i="1"/>
  <c r="BN23" i="1"/>
  <c r="BG23" i="1"/>
  <c r="BF23" i="1"/>
  <c r="AV23" i="1"/>
  <c r="AP23" i="1"/>
  <c r="AO23" i="1"/>
  <c r="AH23" i="1"/>
  <c r="AG23" i="1"/>
  <c r="P23" i="1"/>
  <c r="O23" i="1"/>
  <c r="I23" i="1"/>
  <c r="H23" i="1"/>
  <c r="CY22" i="1"/>
  <c r="CV22" i="1"/>
  <c r="CU22" i="1"/>
  <c r="CO22" i="1"/>
  <c r="CN22" i="1"/>
  <c r="CH22" i="1"/>
  <c r="CG22" i="1"/>
  <c r="BV22" i="1"/>
  <c r="BU22" i="1"/>
  <c r="BN22" i="1"/>
  <c r="BG22" i="1"/>
  <c r="BF22" i="1"/>
  <c r="AV22" i="1"/>
  <c r="AP22" i="1"/>
  <c r="AO22" i="1"/>
  <c r="AH22" i="1"/>
  <c r="AG22" i="1"/>
  <c r="P22" i="1"/>
  <c r="O22" i="1"/>
  <c r="I22" i="1"/>
  <c r="H22" i="1"/>
  <c r="CY19" i="1"/>
  <c r="CV19" i="1"/>
  <c r="CU19" i="1"/>
  <c r="CO19" i="1"/>
  <c r="CN19" i="1"/>
  <c r="CH19" i="1"/>
  <c r="CG19" i="1"/>
  <c r="BV19" i="1"/>
  <c r="BU19" i="1"/>
  <c r="BN19" i="1"/>
  <c r="BG19" i="1"/>
  <c r="BF19" i="1"/>
  <c r="AV19" i="1"/>
  <c r="AP19" i="1"/>
  <c r="AO19" i="1"/>
  <c r="AH19" i="1"/>
  <c r="AG19" i="1"/>
  <c r="P19" i="1"/>
  <c r="O19" i="1"/>
  <c r="I19" i="1"/>
  <c r="H19" i="1"/>
  <c r="CY18" i="1"/>
  <c r="CV18" i="1"/>
  <c r="CU18" i="1"/>
  <c r="CO18" i="1"/>
  <c r="CN18" i="1"/>
  <c r="CH18" i="1"/>
  <c r="CG18" i="1"/>
  <c r="BV18" i="1"/>
  <c r="BU18" i="1"/>
  <c r="BN18" i="1"/>
  <c r="BG18" i="1"/>
  <c r="BF18" i="1"/>
  <c r="AV18" i="1"/>
  <c r="AP18" i="1"/>
  <c r="AO18" i="1"/>
  <c r="AH18" i="1"/>
  <c r="AG18" i="1"/>
  <c r="P18" i="1"/>
  <c r="O18" i="1"/>
  <c r="I18" i="1"/>
  <c r="H18" i="1"/>
  <c r="CY17" i="1"/>
  <c r="CV17" i="1"/>
  <c r="CU17" i="1"/>
  <c r="CO17" i="1"/>
  <c r="CN17" i="1"/>
  <c r="CH17" i="1"/>
  <c r="CG17" i="1"/>
  <c r="BV17" i="1"/>
  <c r="BU17" i="1"/>
  <c r="BN17" i="1"/>
  <c r="BG17" i="1"/>
  <c r="BF17" i="1"/>
  <c r="AV17" i="1"/>
  <c r="AP17" i="1"/>
  <c r="AO17" i="1"/>
  <c r="AH17" i="1"/>
  <c r="AG17" i="1"/>
  <c r="P17" i="1"/>
  <c r="O17" i="1"/>
  <c r="I17" i="1"/>
  <c r="H17" i="1"/>
  <c r="CY15" i="1"/>
  <c r="CV15" i="1"/>
  <c r="CU15" i="1"/>
  <c r="CO15" i="1"/>
  <c r="CN15" i="1"/>
  <c r="CH15" i="1"/>
  <c r="CG15" i="1"/>
  <c r="BV15" i="1"/>
  <c r="BU15" i="1"/>
  <c r="BN15" i="1"/>
  <c r="BG15" i="1"/>
  <c r="BF15" i="1"/>
  <c r="AV15" i="1"/>
  <c r="AP15" i="1"/>
  <c r="AO15" i="1"/>
  <c r="AH15" i="1"/>
  <c r="AG15" i="1"/>
  <c r="P15" i="1"/>
  <c r="O15" i="1"/>
  <c r="I15" i="1"/>
  <c r="H15" i="1"/>
  <c r="CY12" i="1"/>
  <c r="CV12" i="1"/>
  <c r="CU12" i="1"/>
  <c r="CO12" i="1"/>
  <c r="CN12" i="1"/>
  <c r="CH12" i="1"/>
  <c r="CG12" i="1"/>
  <c r="BV12" i="1"/>
  <c r="BU12" i="1"/>
  <c r="BN12" i="1"/>
  <c r="BG12" i="1"/>
  <c r="BF12" i="1"/>
  <c r="AV12" i="1"/>
  <c r="AP12" i="1"/>
  <c r="AO12" i="1"/>
  <c r="AH12" i="1"/>
  <c r="AG12" i="1"/>
  <c r="P12" i="1"/>
  <c r="O12" i="1"/>
  <c r="I12" i="1"/>
  <c r="H12" i="1"/>
  <c r="CY11" i="1"/>
  <c r="CV11" i="1"/>
  <c r="CU11" i="1"/>
  <c r="CO11" i="1"/>
  <c r="CN11" i="1"/>
  <c r="CH11" i="1"/>
  <c r="CG11" i="1"/>
  <c r="BV11" i="1"/>
  <c r="BU11" i="1"/>
  <c r="BN11" i="1"/>
  <c r="BG11" i="1"/>
  <c r="BF11" i="1"/>
  <c r="AV11" i="1"/>
  <c r="AP11" i="1"/>
  <c r="AO11" i="1"/>
  <c r="AH11" i="1"/>
  <c r="AG11" i="1"/>
  <c r="P11" i="1"/>
  <c r="O11" i="1"/>
  <c r="I11" i="1"/>
  <c r="H11" i="1"/>
  <c r="CY10" i="1"/>
  <c r="CV10" i="1"/>
  <c r="CU10" i="1"/>
  <c r="CO10" i="1"/>
  <c r="CN10" i="1"/>
  <c r="CH10" i="1"/>
  <c r="CG10" i="1"/>
  <c r="BV10" i="1"/>
  <c r="BU10" i="1"/>
  <c r="BN10" i="1"/>
  <c r="BG10" i="1"/>
  <c r="BF10" i="1"/>
  <c r="AV10" i="1"/>
  <c r="AP10" i="1"/>
  <c r="AO10" i="1"/>
  <c r="AH10" i="1"/>
  <c r="AG10" i="1"/>
  <c r="P10" i="1"/>
  <c r="O10" i="1"/>
  <c r="I10" i="1"/>
  <c r="H10" i="1"/>
  <c r="CY9" i="1"/>
  <c r="CV9" i="1"/>
  <c r="CU9" i="1"/>
  <c r="CO9" i="1"/>
  <c r="CN9" i="1"/>
  <c r="CH9" i="1"/>
  <c r="CG9" i="1"/>
  <c r="BV9" i="1"/>
  <c r="BU9" i="1"/>
  <c r="BN9" i="1"/>
  <c r="BG9" i="1"/>
  <c r="BF9" i="1"/>
  <c r="AV9" i="1"/>
  <c r="AP9" i="1"/>
  <c r="AO9" i="1"/>
  <c r="AH9" i="1"/>
  <c r="AG9" i="1"/>
  <c r="P9" i="1"/>
  <c r="O9" i="1"/>
  <c r="I9" i="1"/>
  <c r="H9" i="1"/>
  <c r="CY8" i="1"/>
  <c r="CV8" i="1"/>
  <c r="CU8" i="1"/>
  <c r="CO8" i="1"/>
  <c r="CN8" i="1"/>
  <c r="CH8" i="1"/>
  <c r="CG8" i="1"/>
  <c r="BV8" i="1"/>
  <c r="BU8" i="1"/>
  <c r="BN8" i="1"/>
  <c r="BG8" i="1"/>
  <c r="BF8" i="1"/>
  <c r="AV8" i="1"/>
  <c r="AP8" i="1"/>
  <c r="AO8" i="1"/>
  <c r="AH8" i="1"/>
  <c r="AG8" i="1"/>
  <c r="P8" i="1"/>
  <c r="O8" i="1"/>
  <c r="I8" i="1"/>
  <c r="H8" i="1"/>
  <c r="CY7" i="1"/>
  <c r="CV7" i="1"/>
  <c r="CU7" i="1"/>
  <c r="CO7" i="1"/>
  <c r="CN7" i="1"/>
  <c r="CH7" i="1"/>
  <c r="CG7" i="1"/>
  <c r="BV7" i="1"/>
  <c r="BU7" i="1"/>
  <c r="BN7" i="1"/>
  <c r="BG7" i="1"/>
  <c r="BF7" i="1"/>
  <c r="AV7" i="1"/>
  <c r="AP7" i="1"/>
  <c r="AO7" i="1"/>
  <c r="AH7" i="1"/>
  <c r="AG7" i="1"/>
  <c r="P7" i="1"/>
  <c r="O7" i="1"/>
  <c r="I7" i="1"/>
  <c r="H7" i="1"/>
  <c r="CY6" i="1"/>
  <c r="CV6" i="1"/>
  <c r="CU6" i="1"/>
  <c r="CO6" i="1"/>
  <c r="CN6" i="1"/>
  <c r="CH6" i="1"/>
  <c r="CG6" i="1"/>
  <c r="BV6" i="1"/>
  <c r="BU6" i="1"/>
  <c r="BN6" i="1"/>
  <c r="BG6" i="1"/>
  <c r="BF6" i="1"/>
  <c r="AV6" i="1"/>
  <c r="AP6" i="1"/>
  <c r="AO6" i="1"/>
  <c r="AH6" i="1"/>
  <c r="AG6" i="1"/>
  <c r="P6" i="1"/>
  <c r="O6" i="1"/>
  <c r="I6" i="1"/>
  <c r="H6" i="1"/>
  <c r="CY5" i="1"/>
  <c r="CV5" i="1"/>
  <c r="CU5" i="1"/>
  <c r="CO5" i="1"/>
  <c r="CN5" i="1"/>
  <c r="CH5" i="1"/>
  <c r="CG5" i="1"/>
  <c r="BV5" i="1"/>
  <c r="BU5" i="1"/>
  <c r="BN5" i="1"/>
  <c r="BF5" i="1"/>
  <c r="AV5" i="1"/>
  <c r="AP5" i="1"/>
  <c r="AO5" i="1"/>
  <c r="AH5" i="1"/>
  <c r="AG5" i="1"/>
  <c r="P5" i="1"/>
  <c r="O5" i="1"/>
  <c r="I5" i="1"/>
  <c r="H5" i="1"/>
  <c r="BP81" i="1" l="1"/>
  <c r="CW81" i="1"/>
  <c r="AX93" i="1"/>
  <c r="BP97" i="1"/>
  <c r="CW97" i="1"/>
  <c r="CD351" i="1"/>
  <c r="CL351" i="1"/>
  <c r="BJ351" i="1"/>
  <c r="N351" i="1"/>
  <c r="AF351" i="1"/>
  <c r="CI85" i="1"/>
  <c r="Q9" i="1"/>
  <c r="AQ11" i="1"/>
  <c r="CW15" i="1"/>
  <c r="CP18" i="1"/>
  <c r="X288" i="1"/>
  <c r="E351" i="1"/>
  <c r="S351" i="1"/>
  <c r="T351" i="1"/>
  <c r="AL351" i="1"/>
  <c r="BW12" i="1"/>
  <c r="BP17" i="1"/>
  <c r="CP19" i="1"/>
  <c r="AI313" i="1"/>
  <c r="CW313" i="1"/>
  <c r="CP315" i="1"/>
  <c r="U351" i="1"/>
  <c r="BP11" i="1"/>
  <c r="CW11" i="1"/>
  <c r="AX18" i="1"/>
  <c r="BP112" i="1"/>
  <c r="BH122" i="1"/>
  <c r="AX124" i="1"/>
  <c r="BW126" i="1"/>
  <c r="BP128" i="1"/>
  <c r="X130" i="1"/>
  <c r="BH148" i="1"/>
  <c r="J152" i="1"/>
  <c r="AX53" i="1"/>
  <c r="CW65" i="1"/>
  <c r="CP67" i="1"/>
  <c r="J71" i="1"/>
  <c r="BH75" i="1"/>
  <c r="AQ79" i="1"/>
  <c r="CP83" i="1"/>
  <c r="AX85" i="1"/>
  <c r="J87" i="1"/>
  <c r="CI93" i="1"/>
  <c r="BH99" i="1"/>
  <c r="AQ103" i="1"/>
  <c r="BH107" i="1"/>
  <c r="BW300" i="1"/>
  <c r="BP302" i="1"/>
  <c r="J340" i="1"/>
  <c r="CP344" i="1"/>
  <c r="C351" i="1"/>
  <c r="AJ351" i="1"/>
  <c r="BK351" i="1"/>
  <c r="CM351" i="1"/>
  <c r="BW255" i="1"/>
  <c r="AI265" i="1"/>
  <c r="CP267" i="1"/>
  <c r="BW271" i="1"/>
  <c r="CI33" i="1"/>
  <c r="J116" i="1"/>
  <c r="AQ116" i="1"/>
  <c r="BP167" i="1"/>
  <c r="BH169" i="1"/>
  <c r="CP169" i="1"/>
  <c r="CI205" i="1"/>
  <c r="AQ207" i="1"/>
  <c r="Q255" i="1"/>
  <c r="J257" i="1"/>
  <c r="J345" i="1"/>
  <c r="AI347" i="1"/>
  <c r="BC351" i="1"/>
  <c r="BQ351" i="1"/>
  <c r="CF351" i="1"/>
  <c r="CS351" i="1"/>
  <c r="CP180" i="1"/>
  <c r="X204" i="1"/>
  <c r="BH206" i="1"/>
  <c r="AQ211" i="1"/>
  <c r="CP215" i="1"/>
  <c r="Q217" i="1"/>
  <c r="J235" i="1"/>
  <c r="AQ235" i="1"/>
  <c r="CW247" i="1"/>
  <c r="CP281" i="1"/>
  <c r="Q283" i="1"/>
  <c r="CW335" i="1"/>
  <c r="CI347" i="1"/>
  <c r="AQ122" i="1"/>
  <c r="BP124" i="1"/>
  <c r="CW124" i="1"/>
  <c r="AQ337" i="1"/>
  <c r="AQ300" i="1"/>
  <c r="AQ245" i="1"/>
  <c r="AN351" i="1"/>
  <c r="AQ41" i="1"/>
  <c r="AI252" i="1"/>
  <c r="AD351" i="1"/>
  <c r="AE351" i="1"/>
  <c r="X169" i="1"/>
  <c r="X180" i="1"/>
  <c r="X37" i="1"/>
  <c r="Q29" i="1"/>
  <c r="M351" i="1"/>
  <c r="Q116" i="1"/>
  <c r="J11" i="1"/>
  <c r="AI23" i="1"/>
  <c r="CI229" i="1"/>
  <c r="AI233" i="1"/>
  <c r="CW243" i="1"/>
  <c r="CP253" i="1"/>
  <c r="X294" i="1"/>
  <c r="BW313" i="1"/>
  <c r="AI316" i="1"/>
  <c r="BP316" i="1"/>
  <c r="CW316" i="1"/>
  <c r="X318" i="1"/>
  <c r="AI332" i="1"/>
  <c r="BP332" i="1"/>
  <c r="CW332" i="1"/>
  <c r="CP334" i="1"/>
  <c r="BW54" i="1"/>
  <c r="CI76" i="1"/>
  <c r="AI121" i="1"/>
  <c r="CI151" i="1"/>
  <c r="J153" i="1"/>
  <c r="BW153" i="1"/>
  <c r="AZ229" i="1"/>
  <c r="BW253" i="1"/>
  <c r="BH313" i="1"/>
  <c r="Q315" i="1"/>
  <c r="AQ333" i="1"/>
  <c r="AI82" i="1"/>
  <c r="BH108" i="1"/>
  <c r="BP182" i="1"/>
  <c r="CP184" i="1"/>
  <c r="BH192" i="1"/>
  <c r="J196" i="1"/>
  <c r="BH200" i="1"/>
  <c r="CI252" i="1"/>
  <c r="CW256" i="1"/>
  <c r="AI264" i="1"/>
  <c r="Q268" i="1"/>
  <c r="AI288" i="1"/>
  <c r="BP288" i="1"/>
  <c r="X338" i="1"/>
  <c r="CI325" i="1"/>
  <c r="J327" i="1"/>
  <c r="AQ181" i="1"/>
  <c r="BW181" i="1"/>
  <c r="CP185" i="1"/>
  <c r="CP201" i="1"/>
  <c r="BH210" i="1"/>
  <c r="CP210" i="1"/>
  <c r="BH252" i="1"/>
  <c r="BW264" i="1"/>
  <c r="AI266" i="1"/>
  <c r="CP268" i="1"/>
  <c r="AQ272" i="1"/>
  <c r="CW274" i="1"/>
  <c r="X276" i="1"/>
  <c r="CI278" i="1"/>
  <c r="BW32" i="1"/>
  <c r="AQ209" i="1"/>
  <c r="AI227" i="1"/>
  <c r="CI257" i="1"/>
  <c r="X279" i="1"/>
  <c r="CW293" i="1"/>
  <c r="CI304" i="1"/>
  <c r="CI312" i="1"/>
  <c r="BY227" i="1"/>
  <c r="Q322" i="1"/>
  <c r="CI322" i="1"/>
  <c r="J324" i="1"/>
  <c r="BH328" i="1"/>
  <c r="BP333" i="1"/>
  <c r="BP334" i="1"/>
  <c r="J338" i="1"/>
  <c r="AQ339" i="1"/>
  <c r="BP75" i="1"/>
  <c r="AQ15" i="1"/>
  <c r="AZ15" i="1"/>
  <c r="J164" i="1"/>
  <c r="AQ164" i="1"/>
  <c r="BW164" i="1"/>
  <c r="BH217" i="1"/>
  <c r="CP217" i="1"/>
  <c r="J221" i="1"/>
  <c r="CW223" i="1"/>
  <c r="AI249" i="1"/>
  <c r="BP249" i="1"/>
  <c r="CW249" i="1"/>
  <c r="BP281" i="1"/>
  <c r="CW281" i="1"/>
  <c r="Q285" i="1"/>
  <c r="X322" i="1"/>
  <c r="CP322" i="1"/>
  <c r="CW18" i="1"/>
  <c r="Z38" i="1"/>
  <c r="BH48" i="1"/>
  <c r="BY72" i="1"/>
  <c r="BY80" i="1"/>
  <c r="BW84" i="1"/>
  <c r="X88" i="1"/>
  <c r="CP88" i="1"/>
  <c r="BW92" i="1"/>
  <c r="AX98" i="1"/>
  <c r="Z100" i="1"/>
  <c r="AZ109" i="1"/>
  <c r="CW109" i="1"/>
  <c r="BH111" i="1"/>
  <c r="Q113" i="1"/>
  <c r="AQ115" i="1"/>
  <c r="BW115" i="1"/>
  <c r="BP117" i="1"/>
  <c r="CP119" i="1"/>
  <c r="Q121" i="1"/>
  <c r="AX121" i="1"/>
  <c r="X127" i="1"/>
  <c r="CW143" i="1"/>
  <c r="X145" i="1"/>
  <c r="BP151" i="1"/>
  <c r="CW151" i="1"/>
  <c r="BW157" i="1"/>
  <c r="BP159" i="1"/>
  <c r="BP176" i="1"/>
  <c r="X178" i="1"/>
  <c r="CP178" i="1"/>
  <c r="X186" i="1"/>
  <c r="CW192" i="1"/>
  <c r="AX196" i="1"/>
  <c r="Q340" i="1"/>
  <c r="CI340" i="1"/>
  <c r="AQ281" i="1"/>
  <c r="AQ289" i="1"/>
  <c r="AI291" i="1"/>
  <c r="BW303" i="1"/>
  <c r="J312" i="1"/>
  <c r="AQ312" i="1"/>
  <c r="Q317" i="1"/>
  <c r="CP331" i="1"/>
  <c r="BP345" i="1"/>
  <c r="X347" i="1"/>
  <c r="BH347" i="1"/>
  <c r="J10" i="1"/>
  <c r="AX19" i="1"/>
  <c r="CP16" i="1"/>
  <c r="Q38" i="1"/>
  <c r="AI28" i="1"/>
  <c r="CW28" i="1"/>
  <c r="J85" i="1"/>
  <c r="BH97" i="1"/>
  <c r="BP135" i="1"/>
  <c r="CP139" i="1"/>
  <c r="Q141" i="1"/>
  <c r="BH163" i="1"/>
  <c r="CP163" i="1"/>
  <c r="AQ167" i="1"/>
  <c r="CW169" i="1"/>
  <c r="X171" i="1"/>
  <c r="Q177" i="1"/>
  <c r="BP8" i="1"/>
  <c r="X10" i="1"/>
  <c r="CP22" i="1"/>
  <c r="J16" i="1"/>
  <c r="BP37" i="1"/>
  <c r="CI41" i="1"/>
  <c r="AX47" i="1"/>
  <c r="AQ49" i="1"/>
  <c r="X53" i="1"/>
  <c r="CI55" i="1"/>
  <c r="CX110" i="1"/>
  <c r="CZ110" i="1" s="1"/>
  <c r="CX118" i="1"/>
  <c r="CZ118" i="1" s="1"/>
  <c r="AZ122" i="1"/>
  <c r="AX126" i="1"/>
  <c r="AQ128" i="1"/>
  <c r="BP130" i="1"/>
  <c r="X158" i="1"/>
  <c r="AQ161" i="1"/>
  <c r="AI163" i="1"/>
  <c r="CP165" i="1"/>
  <c r="J177" i="1"/>
  <c r="X181" i="1"/>
  <c r="CP181" i="1"/>
  <c r="AX183" i="1"/>
  <c r="AQ185" i="1"/>
  <c r="BP187" i="1"/>
  <c r="CW187" i="1"/>
  <c r="J201" i="1"/>
  <c r="BP203" i="1"/>
  <c r="CP205" i="1"/>
  <c r="Q207" i="1"/>
  <c r="J209" i="1"/>
  <c r="BP211" i="1"/>
  <c r="CX265" i="1"/>
  <c r="CZ265" i="1" s="1"/>
  <c r="Q281" i="1"/>
  <c r="BY347" i="1"/>
  <c r="E3" i="2"/>
  <c r="AI10" i="1"/>
  <c r="BP85" i="1"/>
  <c r="CP23" i="1"/>
  <c r="CI25" i="1"/>
  <c r="J173" i="1"/>
  <c r="BP27" i="1"/>
  <c r="CW27" i="1"/>
  <c r="X31" i="1"/>
  <c r="AI44" i="1"/>
  <c r="CW44" i="1"/>
  <c r="BH46" i="1"/>
  <c r="AX48" i="1"/>
  <c r="CW52" i="1"/>
  <c r="BH70" i="1"/>
  <c r="BP76" i="1"/>
  <c r="X78" i="1"/>
  <c r="CP78" i="1"/>
  <c r="BP115" i="1"/>
  <c r="X117" i="1"/>
  <c r="CP143" i="1"/>
  <c r="AQ147" i="1"/>
  <c r="AQ155" i="1"/>
  <c r="BW155" i="1"/>
  <c r="AI157" i="1"/>
  <c r="BP157" i="1"/>
  <c r="BH159" i="1"/>
  <c r="J162" i="1"/>
  <c r="AQ170" i="1"/>
  <c r="CP174" i="1"/>
  <c r="AQ194" i="1"/>
  <c r="CW196" i="1"/>
  <c r="CP198" i="1"/>
  <c r="AQ202" i="1"/>
  <c r="J226" i="1"/>
  <c r="AQ226" i="1"/>
  <c r="CI232" i="1"/>
  <c r="CW254" i="1"/>
  <c r="Q258" i="1"/>
  <c r="CI258" i="1"/>
  <c r="AQ260" i="1"/>
  <c r="BW260" i="1"/>
  <c r="AI262" i="1"/>
  <c r="BP262" i="1"/>
  <c r="X280" i="1"/>
  <c r="Q305" i="1"/>
  <c r="CI305" i="1"/>
  <c r="Q313" i="1"/>
  <c r="AQ315" i="1"/>
  <c r="BW315" i="1"/>
  <c r="CI344" i="1"/>
  <c r="CP265" i="1"/>
  <c r="Q267" i="1"/>
  <c r="BT351" i="1"/>
  <c r="CI6" i="1"/>
  <c r="AQ10" i="1"/>
  <c r="BW22" i="1"/>
  <c r="CW32" i="1"/>
  <c r="CP33" i="1"/>
  <c r="J39" i="1"/>
  <c r="CW41" i="1"/>
  <c r="CI43" i="1"/>
  <c r="J45" i="1"/>
  <c r="AQ45" i="1"/>
  <c r="CW47" i="1"/>
  <c r="J229" i="1"/>
  <c r="AI230" i="1"/>
  <c r="AQ236" i="1"/>
  <c r="AI248" i="1"/>
  <c r="CW288" i="1"/>
  <c r="X290" i="1"/>
  <c r="AI303" i="1"/>
  <c r="AQ310" i="1"/>
  <c r="CW320" i="1"/>
  <c r="CI324" i="1"/>
  <c r="BH344" i="1"/>
  <c r="BH121" i="1"/>
  <c r="Q188" i="1"/>
  <c r="AX188" i="1"/>
  <c r="BW190" i="1"/>
  <c r="Z230" i="1"/>
  <c r="AQ238" i="1"/>
  <c r="X283" i="1"/>
  <c r="BY299" i="1"/>
  <c r="BH199" i="1"/>
  <c r="BW23" i="1"/>
  <c r="BP185" i="1"/>
  <c r="AQ191" i="1"/>
  <c r="BP282" i="1"/>
  <c r="CP285" i="1"/>
  <c r="BW289" i="1"/>
  <c r="BP291" i="1"/>
  <c r="BP298" i="1"/>
  <c r="BH175" i="1"/>
  <c r="BP121" i="1"/>
  <c r="CW121" i="1"/>
  <c r="Q125" i="1"/>
  <c r="BY212" i="1"/>
  <c r="CP212" i="1"/>
  <c r="J216" i="1"/>
  <c r="BH220" i="1"/>
  <c r="AX222" i="1"/>
  <c r="AI226" i="1"/>
  <c r="J232" i="1"/>
  <c r="AQ232" i="1"/>
  <c r="AQ239" i="1"/>
  <c r="X286" i="1"/>
  <c r="Q288" i="1"/>
  <c r="CI288" i="1"/>
  <c r="AQ290" i="1"/>
  <c r="AI292" i="1"/>
  <c r="CW292" i="1"/>
  <c r="AI307" i="1"/>
  <c r="CP309" i="1"/>
  <c r="BH325" i="1"/>
  <c r="CX327" i="1"/>
  <c r="J329" i="1"/>
  <c r="AQ329" i="1"/>
  <c r="BW329" i="1"/>
  <c r="CI342" i="1"/>
  <c r="BY23" i="1"/>
  <c r="AZ52" i="1"/>
  <c r="J7" i="1"/>
  <c r="AQ7" i="1"/>
  <c r="BW7" i="1"/>
  <c r="J8" i="1"/>
  <c r="AQ8" i="1"/>
  <c r="AI9" i="1"/>
  <c r="BH12" i="1"/>
  <c r="CP12" i="1"/>
  <c r="AQ18" i="1"/>
  <c r="AQ19" i="1"/>
  <c r="X24" i="1"/>
  <c r="CI16" i="1"/>
  <c r="J26" i="1"/>
  <c r="AI30" i="1"/>
  <c r="CW30" i="1"/>
  <c r="J43" i="1"/>
  <c r="AQ43" i="1"/>
  <c r="X33" i="1"/>
  <c r="J9" i="1"/>
  <c r="Q8" i="1"/>
  <c r="AQ30" i="1"/>
  <c r="BY37" i="1"/>
  <c r="Q39" i="1"/>
  <c r="BW41" i="1"/>
  <c r="BW9" i="1"/>
  <c r="AQ5" i="1"/>
  <c r="BU13" i="1"/>
  <c r="V6" i="5" s="1"/>
  <c r="AI7" i="1"/>
  <c r="CW7" i="1"/>
  <c r="BH9" i="1"/>
  <c r="CP9" i="1"/>
  <c r="AI173" i="1"/>
  <c r="BW33" i="1"/>
  <c r="AI34" i="1"/>
  <c r="CX125" i="1"/>
  <c r="CZ125" i="1" s="1"/>
  <c r="AI62" i="1"/>
  <c r="Q67" i="1"/>
  <c r="CI67" i="1"/>
  <c r="AI70" i="1"/>
  <c r="BP71" i="1"/>
  <c r="CW71" i="1"/>
  <c r="X72" i="1"/>
  <c r="CI74" i="1"/>
  <c r="AX75" i="1"/>
  <c r="J77" i="1"/>
  <c r="BW77" i="1"/>
  <c r="AI102" i="1"/>
  <c r="CW103" i="1"/>
  <c r="CI106" i="1"/>
  <c r="Q107" i="1"/>
  <c r="J108" i="1"/>
  <c r="BP110" i="1"/>
  <c r="AX114" i="1"/>
  <c r="BY143" i="1"/>
  <c r="CX153" i="1"/>
  <c r="CZ153" i="1" s="1"/>
  <c r="AX191" i="1"/>
  <c r="X197" i="1"/>
  <c r="Z207" i="1"/>
  <c r="AI229" i="1"/>
  <c r="AI254" i="1"/>
  <c r="X272" i="1"/>
  <c r="BP306" i="1"/>
  <c r="BW332" i="1"/>
  <c r="CX338" i="1"/>
  <c r="CZ338" i="1" s="1"/>
  <c r="CP50" i="1"/>
  <c r="AI56" i="1"/>
  <c r="AX59" i="1"/>
  <c r="AY59" i="1" s="1"/>
  <c r="CI60" i="1"/>
  <c r="BP63" i="1"/>
  <c r="AI64" i="1"/>
  <c r="BP64" i="1"/>
  <c r="CW80" i="1"/>
  <c r="CP82" i="1"/>
  <c r="CI84" i="1"/>
  <c r="BH90" i="1"/>
  <c r="Q92" i="1"/>
  <c r="BH98" i="1"/>
  <c r="CP98" i="1"/>
  <c r="CI100" i="1"/>
  <c r="BH106" i="1"/>
  <c r="Q108" i="1"/>
  <c r="CW111" i="1"/>
  <c r="CP113" i="1"/>
  <c r="Q115" i="1"/>
  <c r="AQ117" i="1"/>
  <c r="Q127" i="1"/>
  <c r="BW130" i="1"/>
  <c r="AI131" i="1"/>
  <c r="BP132" i="1"/>
  <c r="CW132" i="1"/>
  <c r="AX135" i="1"/>
  <c r="CI135" i="1"/>
  <c r="BW139" i="1"/>
  <c r="AI142" i="1"/>
  <c r="BP142" i="1"/>
  <c r="CP152" i="1"/>
  <c r="Q154" i="1"/>
  <c r="CI154" i="1"/>
  <c r="CW158" i="1"/>
  <c r="CP167" i="1"/>
  <c r="Q169" i="1"/>
  <c r="BW178" i="1"/>
  <c r="X191" i="1"/>
  <c r="AX192" i="1"/>
  <c r="BP197" i="1"/>
  <c r="J208" i="1"/>
  <c r="CI213" i="1"/>
  <c r="BW214" i="1"/>
  <c r="AQ215" i="1"/>
  <c r="CP226" i="1"/>
  <c r="CP250" i="1"/>
  <c r="AQ254" i="1"/>
  <c r="CI276" i="1"/>
  <c r="AQ278" i="1"/>
  <c r="CW279" i="1"/>
  <c r="CP280" i="1"/>
  <c r="AQ283" i="1"/>
  <c r="BW283" i="1"/>
  <c r="CP287" i="1"/>
  <c r="J298" i="1"/>
  <c r="AQ298" i="1"/>
  <c r="J306" i="1"/>
  <c r="CP310" i="1"/>
  <c r="Q312" i="1"/>
  <c r="CW314" i="1"/>
  <c r="AI315" i="1"/>
  <c r="BP315" i="1"/>
  <c r="Q318" i="1"/>
  <c r="CI318" i="1"/>
  <c r="J320" i="1"/>
  <c r="AQ320" i="1"/>
  <c r="BW320" i="1"/>
  <c r="AI322" i="1"/>
  <c r="BH324" i="1"/>
  <c r="Q325" i="1"/>
  <c r="J334" i="1"/>
  <c r="CP336" i="1"/>
  <c r="BH337" i="1"/>
  <c r="CP337" i="1"/>
  <c r="AI341" i="1"/>
  <c r="BP341" i="1"/>
  <c r="AI225" i="1"/>
  <c r="AI231" i="1"/>
  <c r="BP231" i="1"/>
  <c r="X233" i="1"/>
  <c r="CI235" i="1"/>
  <c r="AQ237" i="1"/>
  <c r="AI239" i="1"/>
  <c r="CW239" i="1"/>
  <c r="BH243" i="1"/>
  <c r="CP243" i="1"/>
  <c r="BH251" i="1"/>
  <c r="AQ284" i="1"/>
  <c r="BP286" i="1"/>
  <c r="AI29" i="1"/>
  <c r="Q45" i="1"/>
  <c r="CI45" i="1"/>
  <c r="AQ56" i="1"/>
  <c r="AI58" i="1"/>
  <c r="BP58" i="1"/>
  <c r="CI62" i="1"/>
  <c r="BP65" i="1"/>
  <c r="AI66" i="1"/>
  <c r="BP66" i="1"/>
  <c r="X68" i="1"/>
  <c r="BH68" i="1"/>
  <c r="Q70" i="1"/>
  <c r="AX70" i="1"/>
  <c r="BW72" i="1"/>
  <c r="CW74" i="1"/>
  <c r="AX78" i="1"/>
  <c r="CI78" i="1"/>
  <c r="BW80" i="1"/>
  <c r="BW88" i="1"/>
  <c r="BP90" i="1"/>
  <c r="X92" i="1"/>
  <c r="BH92" i="1"/>
  <c r="CI94" i="1"/>
  <c r="AI98" i="1"/>
  <c r="BH100" i="1"/>
  <c r="CP100" i="1"/>
  <c r="J104" i="1"/>
  <c r="CW106" i="1"/>
  <c r="AZ121" i="1"/>
  <c r="J125" i="1"/>
  <c r="AZ126" i="1"/>
  <c r="Q130" i="1"/>
  <c r="Q140" i="1"/>
  <c r="AQ142" i="1"/>
  <c r="J150" i="1"/>
  <c r="CW152" i="1"/>
  <c r="X154" i="1"/>
  <c r="CP154" i="1"/>
  <c r="Q163" i="1"/>
  <c r="Q170" i="1"/>
  <c r="CW174" i="1"/>
  <c r="AI175" i="1"/>
  <c r="J188" i="1"/>
  <c r="BW188" i="1"/>
  <c r="Q195" i="1"/>
  <c r="BY268" i="1"/>
  <c r="Z280" i="1"/>
  <c r="CP289" i="1"/>
  <c r="CW324" i="1"/>
  <c r="AI331" i="1"/>
  <c r="BP331" i="1"/>
  <c r="X332" i="1"/>
  <c r="CI334" i="1"/>
  <c r="J335" i="1"/>
  <c r="AI337" i="1"/>
  <c r="BP337" i="1"/>
  <c r="CW337" i="1"/>
  <c r="X339" i="1"/>
  <c r="BH345" i="1"/>
  <c r="Q63" i="1"/>
  <c r="CI63" i="1"/>
  <c r="AQ65" i="1"/>
  <c r="AI83" i="1"/>
  <c r="BP83" i="1"/>
  <c r="CW83" i="1"/>
  <c r="AX87" i="1"/>
  <c r="J97" i="1"/>
  <c r="BP99" i="1"/>
  <c r="BW197" i="1"/>
  <c r="J198" i="1"/>
  <c r="AQ198" i="1"/>
  <c r="CP200" i="1"/>
  <c r="BP205" i="1"/>
  <c r="CW205" i="1"/>
  <c r="BW209" i="1"/>
  <c r="X213" i="1"/>
  <c r="AQ218" i="1"/>
  <c r="J225" i="1"/>
  <c r="CI246" i="1"/>
  <c r="AI258" i="1"/>
  <c r="AI259" i="1"/>
  <c r="BP259" i="1"/>
  <c r="Q263" i="1"/>
  <c r="CI263" i="1"/>
  <c r="X282" i="1"/>
  <c r="X297" i="1"/>
  <c r="CP297" i="1"/>
  <c r="Q299" i="1"/>
  <c r="CP305" i="1"/>
  <c r="CI307" i="1"/>
  <c r="AI325" i="1"/>
  <c r="CW325" i="1"/>
  <c r="AZ108" i="1"/>
  <c r="CI124" i="1"/>
  <c r="CX142" i="1"/>
  <c r="X147" i="1"/>
  <c r="J166" i="1"/>
  <c r="BY171" i="1"/>
  <c r="BY208" i="1"/>
  <c r="BY229" i="1"/>
  <c r="J266" i="1"/>
  <c r="BW266" i="1"/>
  <c r="Q272" i="1"/>
  <c r="CI272" i="1"/>
  <c r="BW274" i="1"/>
  <c r="AI276" i="1"/>
  <c r="BP276" i="1"/>
  <c r="CW276" i="1"/>
  <c r="X278" i="1"/>
  <c r="CW296" i="1"/>
  <c r="BH346" i="1"/>
  <c r="BW43" i="1"/>
  <c r="CW45" i="1"/>
  <c r="BH47" i="1"/>
  <c r="CP47" i="1"/>
  <c r="AQ51" i="1"/>
  <c r="Q57" i="1"/>
  <c r="CI57" i="1"/>
  <c r="AI60" i="1"/>
  <c r="AI61" i="1"/>
  <c r="BP61" i="1"/>
  <c r="Q64" i="1"/>
  <c r="AX65" i="1"/>
  <c r="CI80" i="1"/>
  <c r="CW101" i="1"/>
  <c r="BH103" i="1"/>
  <c r="CI104" i="1"/>
  <c r="Q105" i="1"/>
  <c r="AX105" i="1"/>
  <c r="BW107" i="1"/>
  <c r="AI108" i="1"/>
  <c r="Q120" i="1"/>
  <c r="BH124" i="1"/>
  <c r="BP129" i="1"/>
  <c r="Q132" i="1"/>
  <c r="CI132" i="1"/>
  <c r="BP136" i="1"/>
  <c r="CP141" i="1"/>
  <c r="CI142" i="1"/>
  <c r="Q143" i="1"/>
  <c r="CI143" i="1"/>
  <c r="Z145" i="1"/>
  <c r="CW162" i="1"/>
  <c r="Z168" i="1"/>
  <c r="AQ168" i="1"/>
  <c r="BW168" i="1"/>
  <c r="BP170" i="1"/>
  <c r="X172" i="1"/>
  <c r="Q190" i="1"/>
  <c r="AX190" i="1"/>
  <c r="BP194" i="1"/>
  <c r="CW194" i="1"/>
  <c r="CP196" i="1"/>
  <c r="J199" i="1"/>
  <c r="AQ200" i="1"/>
  <c r="BY201" i="1"/>
  <c r="AX203" i="1"/>
  <c r="CI203" i="1"/>
  <c r="BW204" i="1"/>
  <c r="J205" i="1"/>
  <c r="CW207" i="1"/>
  <c r="BH208" i="1"/>
  <c r="Z210" i="1"/>
  <c r="AX218" i="1"/>
  <c r="CI218" i="1"/>
  <c r="Z220" i="1"/>
  <c r="AQ220" i="1"/>
  <c r="CI225" i="1"/>
  <c r="AQ233" i="1"/>
  <c r="Q239" i="1"/>
  <c r="J242" i="1"/>
  <c r="AI245" i="1"/>
  <c r="BP245" i="1"/>
  <c r="CW245" i="1"/>
  <c r="BH246" i="1"/>
  <c r="BH247" i="1"/>
  <c r="AI269" i="1"/>
  <c r="X271" i="1"/>
  <c r="CP271" i="1"/>
  <c r="Q273" i="1"/>
  <c r="BW287" i="1"/>
  <c r="BP290" i="1"/>
  <c r="AI297" i="1"/>
  <c r="BP297" i="1"/>
  <c r="CP299" i="1"/>
  <c r="Q301" i="1"/>
  <c r="Q309" i="1"/>
  <c r="J331" i="1"/>
  <c r="AI340" i="1"/>
  <c r="BP340" i="1"/>
  <c r="X341" i="1"/>
  <c r="BH341" i="1"/>
  <c r="Q343" i="1"/>
  <c r="CI343" i="1"/>
  <c r="AI345" i="1"/>
  <c r="Q54" i="1"/>
  <c r="CI54" i="1"/>
  <c r="Z56" i="1"/>
  <c r="AI57" i="1"/>
  <c r="BP57" i="1"/>
  <c r="Q61" i="1"/>
  <c r="AI65" i="1"/>
  <c r="AX68" i="1"/>
  <c r="BP72" i="1"/>
  <c r="BH74" i="1"/>
  <c r="AI80" i="1"/>
  <c r="CP81" i="1"/>
  <c r="CI83" i="1"/>
  <c r="AI86" i="1"/>
  <c r="BP87" i="1"/>
  <c r="Q90" i="1"/>
  <c r="AX91" i="1"/>
  <c r="CI91" i="1"/>
  <c r="CW94" i="1"/>
  <c r="BP95" i="1"/>
  <c r="CW95" i="1"/>
  <c r="AX99" i="1"/>
  <c r="AQ100" i="1"/>
  <c r="BH104" i="1"/>
  <c r="CP104" i="1"/>
  <c r="AX106" i="1"/>
  <c r="CW108" i="1"/>
  <c r="X110" i="1"/>
  <c r="BH110" i="1"/>
  <c r="Q112" i="1"/>
  <c r="AZ116" i="1"/>
  <c r="BP116" i="1"/>
  <c r="BH118" i="1"/>
  <c r="J121" i="1"/>
  <c r="BH123" i="1"/>
  <c r="CP123" i="1"/>
  <c r="CX124" i="1"/>
  <c r="CZ124" i="1" s="1"/>
  <c r="BP126" i="1"/>
  <c r="X128" i="1"/>
  <c r="AZ131" i="1"/>
  <c r="BP131" i="1"/>
  <c r="CX135" i="1"/>
  <c r="CZ135" i="1" s="1"/>
  <c r="CW140" i="1"/>
  <c r="CP142" i="1"/>
  <c r="Z205" i="1"/>
  <c r="J19" i="1"/>
  <c r="CP26" i="1"/>
  <c r="BW39" i="1"/>
  <c r="BY44" i="1"/>
  <c r="Z10" i="1"/>
  <c r="X23" i="1"/>
  <c r="BY30" i="1"/>
  <c r="CP42" i="1"/>
  <c r="Q43" i="1"/>
  <c r="AQ44" i="1"/>
  <c r="AZ53" i="1"/>
  <c r="Q55" i="1"/>
  <c r="AX55" i="1"/>
  <c r="CW58" i="1"/>
  <c r="AX62" i="1"/>
  <c r="AX69" i="1"/>
  <c r="X82" i="1"/>
  <c r="BH105" i="1"/>
  <c r="CI107" i="1"/>
  <c r="CX114" i="1"/>
  <c r="CZ114" i="1" s="1"/>
  <c r="BP122" i="1"/>
  <c r="CI125" i="1"/>
  <c r="AZ130" i="1"/>
  <c r="Q136" i="1"/>
  <c r="CI136" i="1"/>
  <c r="CI165" i="1"/>
  <c r="J167" i="1"/>
  <c r="CW168" i="1"/>
  <c r="CI42" i="1"/>
  <c r="BW5" i="1"/>
  <c r="BY19" i="1"/>
  <c r="AI8" i="1"/>
  <c r="BW11" i="1"/>
  <c r="CW17" i="1"/>
  <c r="AI26" i="1"/>
  <c r="BH30" i="1"/>
  <c r="CW42" i="1"/>
  <c r="BW45" i="1"/>
  <c r="AI46" i="1"/>
  <c r="Q50" i="1"/>
  <c r="AX50" i="1"/>
  <c r="BP53" i="1"/>
  <c r="CW53" i="1"/>
  <c r="CP55" i="1"/>
  <c r="BP60" i="1"/>
  <c r="AI67" i="1"/>
  <c r="BP67" i="1"/>
  <c r="X69" i="1"/>
  <c r="BH69" i="1"/>
  <c r="CP69" i="1"/>
  <c r="AX71" i="1"/>
  <c r="X77" i="1"/>
  <c r="CP77" i="1"/>
  <c r="AX79" i="1"/>
  <c r="BY84" i="1"/>
  <c r="J102" i="1"/>
  <c r="AI118" i="1"/>
  <c r="J122" i="1"/>
  <c r="AI123" i="1"/>
  <c r="BP123" i="1"/>
  <c r="AX130" i="1"/>
  <c r="BP133" i="1"/>
  <c r="AZ140" i="1"/>
  <c r="CX140" i="1"/>
  <c r="CZ140" i="1" s="1"/>
  <c r="CP144" i="1"/>
  <c r="BP149" i="1"/>
  <c r="CI153" i="1"/>
  <c r="Q160" i="1"/>
  <c r="BH164" i="1"/>
  <c r="BW167" i="1"/>
  <c r="AI169" i="1"/>
  <c r="BP169" i="1"/>
  <c r="X170" i="1"/>
  <c r="CP170" i="1"/>
  <c r="AZ18" i="1"/>
  <c r="Q173" i="1"/>
  <c r="BH38" i="1"/>
  <c r="BP47" i="1"/>
  <c r="CW90" i="1"/>
  <c r="BP111" i="1"/>
  <c r="AZ119" i="1"/>
  <c r="AI134" i="1"/>
  <c r="BP134" i="1"/>
  <c r="CI161" i="1"/>
  <c r="BH165" i="1"/>
  <c r="L351" i="1"/>
  <c r="CI23" i="1"/>
  <c r="X28" i="1"/>
  <c r="BH8" i="1"/>
  <c r="BH15" i="1"/>
  <c r="BY5" i="1"/>
  <c r="X5" i="1"/>
  <c r="X6" i="1"/>
  <c r="Q7" i="1"/>
  <c r="CI7" i="1"/>
  <c r="AQ17" i="1"/>
  <c r="AI25" i="1"/>
  <c r="BP25" i="1"/>
  <c r="BH16" i="1"/>
  <c r="AI31" i="1"/>
  <c r="J37" i="1"/>
  <c r="X40" i="1"/>
  <c r="BH40" i="1"/>
  <c r="CP40" i="1"/>
  <c r="AQ42" i="1"/>
  <c r="BW42" i="1"/>
  <c r="AI43" i="1"/>
  <c r="BP43" i="1"/>
  <c r="X44" i="1"/>
  <c r="J47" i="1"/>
  <c r="CW49" i="1"/>
  <c r="AI54" i="1"/>
  <c r="CW54" i="1"/>
  <c r="AI55" i="1"/>
  <c r="Q58" i="1"/>
  <c r="AZ58" i="1"/>
  <c r="CI58" i="1"/>
  <c r="CI65" i="1"/>
  <c r="AQ67" i="1"/>
  <c r="BP69" i="1"/>
  <c r="X70" i="1"/>
  <c r="X71" i="1"/>
  <c r="AQ75" i="1"/>
  <c r="BP77" i="1"/>
  <c r="BH79" i="1"/>
  <c r="CP79" i="1"/>
  <c r="BW82" i="1"/>
  <c r="CI87" i="1"/>
  <c r="Q88" i="1"/>
  <c r="CI88" i="1"/>
  <c r="BW90" i="1"/>
  <c r="BY92" i="1"/>
  <c r="BH94" i="1"/>
  <c r="J98" i="1"/>
  <c r="CW99" i="1"/>
  <c r="BH101" i="1"/>
  <c r="Q103" i="1"/>
  <c r="CI103" i="1"/>
  <c r="J105" i="1"/>
  <c r="AI106" i="1"/>
  <c r="CX117" i="1"/>
  <c r="CZ117" i="1" s="1"/>
  <c r="AI120" i="1"/>
  <c r="CX122" i="1"/>
  <c r="CZ122" i="1" s="1"/>
  <c r="J124" i="1"/>
  <c r="CI127" i="1"/>
  <c r="BW128" i="1"/>
  <c r="CP130" i="1"/>
  <c r="Q131" i="1"/>
  <c r="AQ134" i="1"/>
  <c r="CP254" i="1"/>
  <c r="AI6" i="1"/>
  <c r="Q37" i="1"/>
  <c r="AI5" i="1"/>
  <c r="CP6" i="1"/>
  <c r="BY11" i="1"/>
  <c r="Q15" i="1"/>
  <c r="CG20" i="1"/>
  <c r="Z8" i="5" s="1"/>
  <c r="BH173" i="1"/>
  <c r="Q26" i="1"/>
  <c r="AQ48" i="1"/>
  <c r="CW50" i="1"/>
  <c r="X52" i="1"/>
  <c r="CI59" i="1"/>
  <c r="AI63" i="1"/>
  <c r="Q66" i="1"/>
  <c r="AX66" i="1"/>
  <c r="BW68" i="1"/>
  <c r="CW70" i="1"/>
  <c r="Q74" i="1"/>
  <c r="BP78" i="1"/>
  <c r="CW85" i="1"/>
  <c r="X87" i="1"/>
  <c r="J91" i="1"/>
  <c r="BP93" i="1"/>
  <c r="CW93" i="1"/>
  <c r="BH95" i="1"/>
  <c r="CP95" i="1"/>
  <c r="J99" i="1"/>
  <c r="CW100" i="1"/>
  <c r="Q104" i="1"/>
  <c r="AX104" i="1"/>
  <c r="J106" i="1"/>
  <c r="Q110" i="1"/>
  <c r="AX110" i="1"/>
  <c r="J112" i="1"/>
  <c r="Q118" i="1"/>
  <c r="AX118" i="1"/>
  <c r="CI118" i="1"/>
  <c r="Q123" i="1"/>
  <c r="AX123" i="1"/>
  <c r="Q128" i="1"/>
  <c r="AX128" i="1"/>
  <c r="AQ129" i="1"/>
  <c r="AX133" i="1"/>
  <c r="X141" i="1"/>
  <c r="J233" i="1"/>
  <c r="CW175" i="1"/>
  <c r="BY177" i="1"/>
  <c r="CP177" i="1"/>
  <c r="AX179" i="1"/>
  <c r="BP183" i="1"/>
  <c r="BW187" i="1"/>
  <c r="AQ193" i="1"/>
  <c r="BW193" i="1"/>
  <c r="BP195" i="1"/>
  <c r="CW195" i="1"/>
  <c r="Q199" i="1"/>
  <c r="AX199" i="1"/>
  <c r="J200" i="1"/>
  <c r="CP202" i="1"/>
  <c r="Q204" i="1"/>
  <c r="AQ206" i="1"/>
  <c r="BP208" i="1"/>
  <c r="CW208" i="1"/>
  <c r="BH209" i="1"/>
  <c r="CP209" i="1"/>
  <c r="J212" i="1"/>
  <c r="AQ212" i="1"/>
  <c r="AZ214" i="1"/>
  <c r="BP214" i="1"/>
  <c r="BH215" i="1"/>
  <c r="J218" i="1"/>
  <c r="X221" i="1"/>
  <c r="CI227" i="1"/>
  <c r="Q228" i="1"/>
  <c r="BW229" i="1"/>
  <c r="BP230" i="1"/>
  <c r="CW230" i="1"/>
  <c r="X232" i="1"/>
  <c r="BH232" i="1"/>
  <c r="BP236" i="1"/>
  <c r="CW236" i="1"/>
  <c r="J244" i="1"/>
  <c r="AQ244" i="1"/>
  <c r="BW244" i="1"/>
  <c r="BH248" i="1"/>
  <c r="J251" i="1"/>
  <c r="BP254" i="1"/>
  <c r="BH266" i="1"/>
  <c r="CP266" i="1"/>
  <c r="X267" i="1"/>
  <c r="BP272" i="1"/>
  <c r="CW272" i="1"/>
  <c r="AI273" i="1"/>
  <c r="X274" i="1"/>
  <c r="X275" i="1"/>
  <c r="CP275" i="1"/>
  <c r="BW279" i="1"/>
  <c r="X281" i="1"/>
  <c r="Q282" i="1"/>
  <c r="CW283" i="1"/>
  <c r="BW286" i="1"/>
  <c r="X289" i="1"/>
  <c r="Q292" i="1"/>
  <c r="BW293" i="1"/>
  <c r="BP294" i="1"/>
  <c r="X296" i="1"/>
  <c r="BH296" i="1"/>
  <c r="X306" i="1"/>
  <c r="BP310" i="1"/>
  <c r="CI313" i="1"/>
  <c r="AQ314" i="1"/>
  <c r="BW314" i="1"/>
  <c r="CI319" i="1"/>
  <c r="AQ321" i="1"/>
  <c r="AI335" i="1"/>
  <c r="J339" i="1"/>
  <c r="CX340" i="1"/>
  <c r="CZ340" i="1" s="1"/>
  <c r="AI344" i="1"/>
  <c r="Z346" i="1"/>
  <c r="BW346" i="1"/>
  <c r="CJ352" i="1"/>
  <c r="CJ353" i="1" s="1"/>
  <c r="AB15" i="5" s="1"/>
  <c r="CO350" i="1"/>
  <c r="CP350" i="1" s="1"/>
  <c r="CI200" i="1"/>
  <c r="BP216" i="1"/>
  <c r="CW216" i="1"/>
  <c r="Q219" i="1"/>
  <c r="AX219" i="1"/>
  <c r="AI221" i="1"/>
  <c r="CW221" i="1"/>
  <c r="CI224" i="1"/>
  <c r="BP227" i="1"/>
  <c r="AX229" i="1"/>
  <c r="J230" i="1"/>
  <c r="Q234" i="1"/>
  <c r="BW236" i="1"/>
  <c r="CW238" i="1"/>
  <c r="CP239" i="1"/>
  <c r="J245" i="1"/>
  <c r="J246" i="1"/>
  <c r="CP256" i="1"/>
  <c r="Q257" i="1"/>
  <c r="AI260" i="1"/>
  <c r="CP262" i="1"/>
  <c r="Q264" i="1"/>
  <c r="AQ265" i="1"/>
  <c r="AI267" i="1"/>
  <c r="BP267" i="1"/>
  <c r="CW267" i="1"/>
  <c r="Q271" i="1"/>
  <c r="BW273" i="1"/>
  <c r="AI275" i="1"/>
  <c r="Q279" i="1"/>
  <c r="AQ280" i="1"/>
  <c r="AQ288" i="1"/>
  <c r="AI295" i="1"/>
  <c r="AI299" i="1"/>
  <c r="CW306" i="1"/>
  <c r="BH307" i="1"/>
  <c r="CP308" i="1"/>
  <c r="BP312" i="1"/>
  <c r="Q314" i="1"/>
  <c r="CI330" i="1"/>
  <c r="BW331" i="1"/>
  <c r="J347" i="1"/>
  <c r="BH147" i="1"/>
  <c r="CP147" i="1"/>
  <c r="CI149" i="1"/>
  <c r="Z151" i="1"/>
  <c r="AQ151" i="1"/>
  <c r="CX159" i="1"/>
  <c r="CZ159" i="1" s="1"/>
  <c r="X161" i="1"/>
  <c r="CP161" i="1"/>
  <c r="Z162" i="1"/>
  <c r="AZ162" i="1"/>
  <c r="AQ163" i="1"/>
  <c r="AI165" i="1"/>
  <c r="BP165" i="1"/>
  <c r="CW165" i="1"/>
  <c r="X167" i="1"/>
  <c r="AX174" i="1"/>
  <c r="CI174" i="1"/>
  <c r="Z176" i="1"/>
  <c r="AQ176" i="1"/>
  <c r="AZ178" i="1"/>
  <c r="CW178" i="1"/>
  <c r="J183" i="1"/>
  <c r="J184" i="1"/>
  <c r="BH187" i="1"/>
  <c r="CP187" i="1"/>
  <c r="BP191" i="1"/>
  <c r="BY196" i="1"/>
  <c r="Z211" i="1"/>
  <c r="Z215" i="1"/>
  <c r="Z218" i="1"/>
  <c r="Z274" i="1"/>
  <c r="Z289" i="1"/>
  <c r="CX304" i="1"/>
  <c r="CZ304" i="1" s="1"/>
  <c r="CX310" i="1"/>
  <c r="CZ310" i="1" s="1"/>
  <c r="CP325" i="1"/>
  <c r="BW327" i="1"/>
  <c r="CW328" i="1"/>
  <c r="CP329" i="1"/>
  <c r="X330" i="1"/>
  <c r="CP330" i="1"/>
  <c r="BH338" i="1"/>
  <c r="Z185" i="1"/>
  <c r="AX195" i="1"/>
  <c r="J197" i="1"/>
  <c r="AQ197" i="1"/>
  <c r="CW199" i="1"/>
  <c r="BY202" i="1"/>
  <c r="AX208" i="1"/>
  <c r="AQ216" i="1"/>
  <c r="J237" i="1"/>
  <c r="J247" i="1"/>
  <c r="BP268" i="1"/>
  <c r="CW269" i="1"/>
  <c r="BW275" i="1"/>
  <c r="CW285" i="1"/>
  <c r="AQ306" i="1"/>
  <c r="BH309" i="1"/>
  <c r="CI310" i="1"/>
  <c r="Q311" i="1"/>
  <c r="CI311" i="1"/>
  <c r="CW318" i="1"/>
  <c r="X320" i="1"/>
  <c r="X326" i="1"/>
  <c r="BH326" i="1"/>
  <c r="J336" i="1"/>
  <c r="BW336" i="1"/>
  <c r="CI144" i="1"/>
  <c r="BP147" i="1"/>
  <c r="X149" i="1"/>
  <c r="CP149" i="1"/>
  <c r="X156" i="1"/>
  <c r="BH156" i="1"/>
  <c r="X157" i="1"/>
  <c r="BY157" i="1"/>
  <c r="CI157" i="1"/>
  <c r="CI158" i="1"/>
  <c r="AQ159" i="1"/>
  <c r="BW159" i="1"/>
  <c r="CX163" i="1"/>
  <c r="CZ163" i="1" s="1"/>
  <c r="AQ165" i="1"/>
  <c r="BW171" i="1"/>
  <c r="BP172" i="1"/>
  <c r="CW172" i="1"/>
  <c r="CX176" i="1"/>
  <c r="CZ176" i="1" s="1"/>
  <c r="BP179" i="1"/>
  <c r="CW179" i="1"/>
  <c r="X188" i="1"/>
  <c r="X193" i="1"/>
  <c r="BH207" i="1"/>
  <c r="CP207" i="1"/>
  <c r="BY210" i="1"/>
  <c r="X212" i="1"/>
  <c r="CP213" i="1"/>
  <c r="Q215" i="1"/>
  <c r="AX215" i="1"/>
  <c r="Z217" i="1"/>
  <c r="BY217" i="1"/>
  <c r="AI228" i="1"/>
  <c r="BH229" i="1"/>
  <c r="X230" i="1"/>
  <c r="BH234" i="1"/>
  <c r="Q237" i="1"/>
  <c r="CI237" i="1"/>
  <c r="J249" i="1"/>
  <c r="AQ249" i="1"/>
  <c r="J255" i="1"/>
  <c r="AQ261" i="1"/>
  <c r="BW261" i="1"/>
  <c r="CW263" i="1"/>
  <c r="AI270" i="1"/>
  <c r="BP270" i="1"/>
  <c r="BY310" i="1"/>
  <c r="BW146" i="1"/>
  <c r="AQ154" i="1"/>
  <c r="BW154" i="1"/>
  <c r="BP156" i="1"/>
  <c r="CW156" i="1"/>
  <c r="AX159" i="1"/>
  <c r="AZ179" i="1"/>
  <c r="AI181" i="1"/>
  <c r="CW181" i="1"/>
  <c r="BH183" i="1"/>
  <c r="J186" i="1"/>
  <c r="BW186" i="1"/>
  <c r="CP190" i="1"/>
  <c r="CW193" i="1"/>
  <c r="BH195" i="1"/>
  <c r="BP206" i="1"/>
  <c r="Q209" i="1"/>
  <c r="AX209" i="1"/>
  <c r="AQ210" i="1"/>
  <c r="CP214" i="1"/>
  <c r="AQ223" i="1"/>
  <c r="BW223" i="1"/>
  <c r="AI224" i="1"/>
  <c r="CP225" i="1"/>
  <c r="AZ227" i="1"/>
  <c r="BH230" i="1"/>
  <c r="X236" i="1"/>
  <c r="Q248" i="1"/>
  <c r="CI248" i="1"/>
  <c r="BH254" i="1"/>
  <c r="AQ256" i="1"/>
  <c r="AI257" i="1"/>
  <c r="BP257" i="1"/>
  <c r="BH258" i="1"/>
  <c r="AQ269" i="1"/>
  <c r="AI271" i="1"/>
  <c r="BP271" i="1"/>
  <c r="CP272" i="1"/>
  <c r="CW278" i="1"/>
  <c r="CP283" i="1"/>
  <c r="CI284" i="1"/>
  <c r="CP288" i="1"/>
  <c r="Q290" i="1"/>
  <c r="CI295" i="1"/>
  <c r="X298" i="1"/>
  <c r="CX300" i="1"/>
  <c r="CZ300" i="1" s="1"/>
  <c r="BW301" i="1"/>
  <c r="AQ302" i="1"/>
  <c r="AQ308" i="1"/>
  <c r="CP311" i="1"/>
  <c r="AI321" i="1"/>
  <c r="CP323" i="1"/>
  <c r="Q324" i="1"/>
  <c r="J325" i="1"/>
  <c r="X335" i="1"/>
  <c r="CI336" i="1"/>
  <c r="BH6" i="1"/>
  <c r="J17" i="1"/>
  <c r="BY17" i="1"/>
  <c r="AO35" i="1"/>
  <c r="L10" i="5" s="1"/>
  <c r="CP173" i="1"/>
  <c r="Z27" i="1"/>
  <c r="Q32" i="1"/>
  <c r="AZ44" i="1"/>
  <c r="Z47" i="1"/>
  <c r="BP49" i="1"/>
  <c r="AX52" i="1"/>
  <c r="CI52" i="1"/>
  <c r="AQ53" i="1"/>
  <c r="AZ55" i="1"/>
  <c r="Q56" i="1"/>
  <c r="AX58" i="1"/>
  <c r="AQ59" i="1"/>
  <c r="AX61" i="1"/>
  <c r="Q62" i="1"/>
  <c r="AX64" i="1"/>
  <c r="CI64" i="1"/>
  <c r="Q65" i="1"/>
  <c r="J69" i="1"/>
  <c r="CI71" i="1"/>
  <c r="CW72" i="1"/>
  <c r="BP73" i="1"/>
  <c r="X75" i="1"/>
  <c r="Q76" i="1"/>
  <c r="AX76" i="1"/>
  <c r="X79" i="1"/>
  <c r="AI81" i="1"/>
  <c r="BH82" i="1"/>
  <c r="AX83" i="1"/>
  <c r="CW84" i="1"/>
  <c r="CP86" i="1"/>
  <c r="CW88" i="1"/>
  <c r="BP89" i="1"/>
  <c r="CP90" i="1"/>
  <c r="X93" i="1"/>
  <c r="BW94" i="1"/>
  <c r="J95" i="1"/>
  <c r="AQ95" i="1"/>
  <c r="CW96" i="1"/>
  <c r="BY97" i="1"/>
  <c r="AQ101" i="1"/>
  <c r="CW102" i="1"/>
  <c r="AZ105" i="1"/>
  <c r="BP105" i="1"/>
  <c r="CW105" i="1"/>
  <c r="X106" i="1"/>
  <c r="J111" i="1"/>
  <c r="J118" i="1"/>
  <c r="BP6" i="1"/>
  <c r="AZ12" i="1"/>
  <c r="V20" i="1"/>
  <c r="F8" i="5" s="1"/>
  <c r="J22" i="1"/>
  <c r="BY24" i="1"/>
  <c r="CP24" i="1"/>
  <c r="CW173" i="1"/>
  <c r="X26" i="1"/>
  <c r="Q33" i="1"/>
  <c r="AI40" i="1"/>
  <c r="BP40" i="1"/>
  <c r="CW40" i="1"/>
  <c r="BP29" i="1"/>
  <c r="CW29" i="1"/>
  <c r="CP43" i="1"/>
  <c r="BY49" i="1"/>
  <c r="BH198" i="1"/>
  <c r="BY198" i="1"/>
  <c r="Q5" i="1"/>
  <c r="BP9" i="1"/>
  <c r="CI10" i="1"/>
  <c r="BP12" i="1"/>
  <c r="AX17" i="1"/>
  <c r="Q22" i="1"/>
  <c r="Z23" i="1"/>
  <c r="X25" i="1"/>
  <c r="CP25" i="1"/>
  <c r="X27" i="1"/>
  <c r="BH27" i="1"/>
  <c r="Z30" i="1"/>
  <c r="BW30" i="1"/>
  <c r="BP31" i="1"/>
  <c r="AQ34" i="1"/>
  <c r="BW34" i="1"/>
  <c r="BH28" i="1"/>
  <c r="CP28" i="1"/>
  <c r="Q42" i="1"/>
  <c r="CW43" i="1"/>
  <c r="BH44" i="1"/>
  <c r="BP46" i="1"/>
  <c r="CW46" i="1"/>
  <c r="J49" i="1"/>
  <c r="CW51" i="1"/>
  <c r="BW53" i="1"/>
  <c r="CX54" i="1"/>
  <c r="CZ54" i="1" s="1"/>
  <c r="CI56" i="1"/>
  <c r="AZ57" i="1"/>
  <c r="Q59" i="1"/>
  <c r="AQ60" i="1"/>
  <c r="CW66" i="1"/>
  <c r="AQ73" i="1"/>
  <c r="BW73" i="1"/>
  <c r="X76" i="1"/>
  <c r="BH76" i="1"/>
  <c r="BH80" i="1"/>
  <c r="J81" i="1"/>
  <c r="AQ81" i="1"/>
  <c r="X83" i="1"/>
  <c r="AQ85" i="1"/>
  <c r="BP86" i="1"/>
  <c r="AQ89" i="1"/>
  <c r="AI90" i="1"/>
  <c r="AI93" i="1"/>
  <c r="CP93" i="1"/>
  <c r="AX95" i="1"/>
  <c r="AI97" i="1"/>
  <c r="AX100" i="1"/>
  <c r="Q101" i="1"/>
  <c r="Z102" i="1"/>
  <c r="AQ102" i="1"/>
  <c r="BP103" i="1"/>
  <c r="AQ105" i="1"/>
  <c r="CX106" i="1"/>
  <c r="CZ106" i="1" s="1"/>
  <c r="X109" i="1"/>
  <c r="BY109" i="1"/>
  <c r="CP116" i="1"/>
  <c r="CI117" i="1"/>
  <c r="AZ125" i="1"/>
  <c r="CX8" i="1"/>
  <c r="Z12" i="1"/>
  <c r="BN20" i="1"/>
  <c r="T8" i="5" s="1"/>
  <c r="BP24" i="1"/>
  <c r="X16" i="1"/>
  <c r="BY16" i="1"/>
  <c r="AQ173" i="1"/>
  <c r="CW26" i="1"/>
  <c r="Z31" i="1"/>
  <c r="CX39" i="1"/>
  <c r="CZ39" i="1" s="1"/>
  <c r="BY46" i="1"/>
  <c r="J50" i="1"/>
  <c r="AQ50" i="1"/>
  <c r="CI69" i="1"/>
  <c r="BW70" i="1"/>
  <c r="BH72" i="1"/>
  <c r="CI72" i="1"/>
  <c r="CX77" i="1"/>
  <c r="CZ77" i="1" s="1"/>
  <c r="BW78" i="1"/>
  <c r="BW81" i="1"/>
  <c r="BH117" i="1"/>
  <c r="BY117" i="1"/>
  <c r="CI255" i="1"/>
  <c r="CX255" i="1"/>
  <c r="CZ255" i="1" s="1"/>
  <c r="CI5" i="1"/>
  <c r="CI8" i="1"/>
  <c r="BH10" i="1"/>
  <c r="CI11" i="1"/>
  <c r="BY18" i="1"/>
  <c r="Z24" i="1"/>
  <c r="AZ29" i="1"/>
  <c r="Q49" i="1"/>
  <c r="CW55" i="1"/>
  <c r="AZ56" i="1"/>
  <c r="CW61" i="1"/>
  <c r="BP62" i="1"/>
  <c r="AX63" i="1"/>
  <c r="CW64" i="1"/>
  <c r="CW67" i="1"/>
  <c r="BY88" i="1"/>
  <c r="X94" i="1"/>
  <c r="BP108" i="1"/>
  <c r="AI115" i="1"/>
  <c r="AI124" i="1"/>
  <c r="AZ124" i="1"/>
  <c r="BF13" i="1"/>
  <c r="R6" i="5" s="1"/>
  <c r="CP8" i="1"/>
  <c r="BH11" i="1"/>
  <c r="AX12" i="1"/>
  <c r="H20" i="1"/>
  <c r="B8" i="5" s="1"/>
  <c r="AO20" i="1"/>
  <c r="L8" i="5" s="1"/>
  <c r="AZ17" i="1"/>
  <c r="BH17" i="1"/>
  <c r="CP17" i="1"/>
  <c r="BP19" i="1"/>
  <c r="CW19" i="1"/>
  <c r="Q23" i="1"/>
  <c r="AQ24" i="1"/>
  <c r="BW24" i="1"/>
  <c r="AI16" i="1"/>
  <c r="BP16" i="1"/>
  <c r="AQ26" i="1"/>
  <c r="J31" i="1"/>
  <c r="BW31" i="1"/>
  <c r="AQ32" i="1"/>
  <c r="AI33" i="1"/>
  <c r="BP33" i="1"/>
  <c r="X34" i="1"/>
  <c r="CW38" i="1"/>
  <c r="J41" i="1"/>
  <c r="BH49" i="1"/>
  <c r="J51" i="1"/>
  <c r="BP52" i="1"/>
  <c r="CP53" i="1"/>
  <c r="BP56" i="1"/>
  <c r="X57" i="1"/>
  <c r="AX73" i="1"/>
  <c r="CI73" i="1"/>
  <c r="AX74" i="1"/>
  <c r="J75" i="1"/>
  <c r="BW79" i="1"/>
  <c r="X84" i="1"/>
  <c r="BH84" i="1"/>
  <c r="CI96" i="1"/>
  <c r="BP109" i="1"/>
  <c r="CX113" i="1"/>
  <c r="AX120" i="1"/>
  <c r="AZ120" i="1"/>
  <c r="AG13" i="1"/>
  <c r="J6" i="5" s="1"/>
  <c r="CW10" i="1"/>
  <c r="BH23" i="1"/>
  <c r="Q24" i="1"/>
  <c r="CW16" i="1"/>
  <c r="X173" i="1"/>
  <c r="AQ27" i="1"/>
  <c r="BW27" i="1"/>
  <c r="X30" i="1"/>
  <c r="AX31" i="1"/>
  <c r="CW33" i="1"/>
  <c r="AQ38" i="1"/>
  <c r="X29" i="1"/>
  <c r="BH29" i="1"/>
  <c r="CP29" i="1"/>
  <c r="AI45" i="1"/>
  <c r="BP45" i="1"/>
  <c r="X46" i="1"/>
  <c r="CW48" i="1"/>
  <c r="AX51" i="1"/>
  <c r="X54" i="1"/>
  <c r="AI59" i="1"/>
  <c r="BP59" i="1"/>
  <c r="AQ62" i="1"/>
  <c r="CI66" i="1"/>
  <c r="AI69" i="1"/>
  <c r="BW71" i="1"/>
  <c r="BH73" i="1"/>
  <c r="CP73" i="1"/>
  <c r="BW76" i="1"/>
  <c r="AZ80" i="1"/>
  <c r="BH81" i="1"/>
  <c r="AX82" i="1"/>
  <c r="BY82" i="1"/>
  <c r="J83" i="1"/>
  <c r="BW83" i="1"/>
  <c r="AX86" i="1"/>
  <c r="CI86" i="1"/>
  <c r="BH88" i="1"/>
  <c r="BH89" i="1"/>
  <c r="BP91" i="1"/>
  <c r="CW91" i="1"/>
  <c r="BH96" i="1"/>
  <c r="CP96" i="1"/>
  <c r="Q97" i="1"/>
  <c r="AX97" i="1"/>
  <c r="X99" i="1"/>
  <c r="J100" i="1"/>
  <c r="BH102" i="1"/>
  <c r="CP102" i="1"/>
  <c r="AI104" i="1"/>
  <c r="BP104" i="1"/>
  <c r="CW104" i="1"/>
  <c r="CP105" i="1"/>
  <c r="Q106" i="1"/>
  <c r="BW106" i="1"/>
  <c r="AI107" i="1"/>
  <c r="BP107" i="1"/>
  <c r="BH112" i="1"/>
  <c r="CP112" i="1"/>
  <c r="Q114" i="1"/>
  <c r="J115" i="1"/>
  <c r="AZ118" i="1"/>
  <c r="BH119" i="1"/>
  <c r="AZ123" i="1"/>
  <c r="AX127" i="1"/>
  <c r="AI129" i="1"/>
  <c r="BW141" i="1"/>
  <c r="BH161" i="1"/>
  <c r="Q167" i="1"/>
  <c r="AI185" i="1"/>
  <c r="X198" i="1"/>
  <c r="CP208" i="1"/>
  <c r="BP220" i="1"/>
  <c r="BY220" i="1"/>
  <c r="AI112" i="1"/>
  <c r="AI119" i="1"/>
  <c r="AI126" i="1"/>
  <c r="CW129" i="1"/>
  <c r="CI133" i="1"/>
  <c r="J155" i="1"/>
  <c r="AI160" i="1"/>
  <c r="BY161" i="1"/>
  <c r="BH166" i="1"/>
  <c r="CP166" i="1"/>
  <c r="Z183" i="1"/>
  <c r="CX183" i="1"/>
  <c r="AQ184" i="1"/>
  <c r="BW206" i="1"/>
  <c r="CP238" i="1"/>
  <c r="J107" i="1"/>
  <c r="CW107" i="1"/>
  <c r="J109" i="1"/>
  <c r="AI110" i="1"/>
  <c r="Q111" i="1"/>
  <c r="CI111" i="1"/>
  <c r="AQ112" i="1"/>
  <c r="BP113" i="1"/>
  <c r="X114" i="1"/>
  <c r="BH114" i="1"/>
  <c r="CP114" i="1"/>
  <c r="CW117" i="1"/>
  <c r="J119" i="1"/>
  <c r="BP119" i="1"/>
  <c r="CW119" i="1"/>
  <c r="BH120" i="1"/>
  <c r="CW122" i="1"/>
  <c r="J126" i="1"/>
  <c r="CW126" i="1"/>
  <c r="CI128" i="1"/>
  <c r="BW129" i="1"/>
  <c r="BW131" i="1"/>
  <c r="AI132" i="1"/>
  <c r="X133" i="1"/>
  <c r="CP133" i="1"/>
  <c r="Q134" i="1"/>
  <c r="CI134" i="1"/>
  <c r="Q135" i="1"/>
  <c r="AI136" i="1"/>
  <c r="CW136" i="1"/>
  <c r="CP140" i="1"/>
  <c r="J142" i="1"/>
  <c r="BH143" i="1"/>
  <c r="AZ145" i="1"/>
  <c r="CI145" i="1"/>
  <c r="J147" i="1"/>
  <c r="AI148" i="1"/>
  <c r="AI153" i="1"/>
  <c r="Z156" i="1"/>
  <c r="BH158" i="1"/>
  <c r="J160" i="1"/>
  <c r="AI161" i="1"/>
  <c r="BH162" i="1"/>
  <c r="CI164" i="1"/>
  <c r="J165" i="1"/>
  <c r="BY167" i="1"/>
  <c r="CI168" i="1"/>
  <c r="Z170" i="1"/>
  <c r="J179" i="1"/>
  <c r="AI180" i="1"/>
  <c r="BP180" i="1"/>
  <c r="BH182" i="1"/>
  <c r="Q184" i="1"/>
  <c r="X194" i="1"/>
  <c r="BH194" i="1"/>
  <c r="BH204" i="1"/>
  <c r="BY204" i="1"/>
  <c r="CP204" i="1"/>
  <c r="Q206" i="1"/>
  <c r="AX206" i="1"/>
  <c r="J207" i="1"/>
  <c r="AX216" i="1"/>
  <c r="CI216" i="1"/>
  <c r="CW217" i="1"/>
  <c r="CP218" i="1"/>
  <c r="J220" i="1"/>
  <c r="AX224" i="1"/>
  <c r="BP225" i="1"/>
  <c r="BY225" i="1"/>
  <c r="J228" i="1"/>
  <c r="AI238" i="1"/>
  <c r="CX290" i="1"/>
  <c r="CZ290" i="1" s="1"/>
  <c r="CW290" i="1"/>
  <c r="AZ127" i="1"/>
  <c r="BY141" i="1"/>
  <c r="CX155" i="1"/>
  <c r="CZ155" i="1" s="1"/>
  <c r="Z177" i="1"/>
  <c r="AQ179" i="1"/>
  <c r="Z192" i="1"/>
  <c r="BY193" i="1"/>
  <c r="J217" i="1"/>
  <c r="BY219" i="1"/>
  <c r="BH219" i="1"/>
  <c r="Q109" i="1"/>
  <c r="AX109" i="1"/>
  <c r="J110" i="1"/>
  <c r="AX112" i="1"/>
  <c r="J113" i="1"/>
  <c r="AQ113" i="1"/>
  <c r="AI114" i="1"/>
  <c r="BP114" i="1"/>
  <c r="Q119" i="1"/>
  <c r="AX119" i="1"/>
  <c r="BP120" i="1"/>
  <c r="CW120" i="1"/>
  <c r="Q124" i="1"/>
  <c r="BH125" i="1"/>
  <c r="Q126" i="1"/>
  <c r="BP127" i="1"/>
  <c r="CW127" i="1"/>
  <c r="CP128" i="1"/>
  <c r="Q129" i="1"/>
  <c r="CX129" i="1"/>
  <c r="CZ129" i="1" s="1"/>
  <c r="AQ130" i="1"/>
  <c r="CI131" i="1"/>
  <c r="AZ133" i="1"/>
  <c r="CW133" i="1"/>
  <c r="X135" i="1"/>
  <c r="AI140" i="1"/>
  <c r="BP140" i="1"/>
  <c r="BH141" i="1"/>
  <c r="AZ142" i="1"/>
  <c r="BH145" i="1"/>
  <c r="Q147" i="1"/>
  <c r="AI149" i="1"/>
  <c r="CP150" i="1"/>
  <c r="AX151" i="1"/>
  <c r="BH154" i="1"/>
  <c r="BY155" i="1"/>
  <c r="Q156" i="1"/>
  <c r="CI156" i="1"/>
  <c r="AI158" i="1"/>
  <c r="AI159" i="1"/>
  <c r="AZ160" i="1"/>
  <c r="CX170" i="1"/>
  <c r="CZ170" i="1" s="1"/>
  <c r="AQ171" i="1"/>
  <c r="X175" i="1"/>
  <c r="BY176" i="1"/>
  <c r="BH177" i="1"/>
  <c r="BY178" i="1"/>
  <c r="X183" i="1"/>
  <c r="BP189" i="1"/>
  <c r="CW189" i="1"/>
  <c r="J192" i="1"/>
  <c r="X195" i="1"/>
  <c r="X205" i="1"/>
  <c r="Q212" i="1"/>
  <c r="J213" i="1"/>
  <c r="Z213" i="1"/>
  <c r="AQ213" i="1"/>
  <c r="BY216" i="1"/>
  <c r="BH216" i="1"/>
  <c r="AQ225" i="1"/>
  <c r="AZ225" i="1"/>
  <c r="CP108" i="1"/>
  <c r="CX109" i="1"/>
  <c r="CZ109" i="1" s="1"/>
  <c r="BW110" i="1"/>
  <c r="J114" i="1"/>
  <c r="BH116" i="1"/>
  <c r="Q117" i="1"/>
  <c r="BP118" i="1"/>
  <c r="J120" i="1"/>
  <c r="CP121" i="1"/>
  <c r="Q122" i="1"/>
  <c r="AX122" i="1"/>
  <c r="AI125" i="1"/>
  <c r="AX132" i="1"/>
  <c r="CW134" i="1"/>
  <c r="BY139" i="1"/>
  <c r="BP141" i="1"/>
  <c r="Z142" i="1"/>
  <c r="AQ143" i="1"/>
  <c r="X146" i="1"/>
  <c r="CI147" i="1"/>
  <c r="CW149" i="1"/>
  <c r="BP154" i="1"/>
  <c r="CW154" i="1"/>
  <c r="CP155" i="1"/>
  <c r="Z158" i="1"/>
  <c r="AQ158" i="1"/>
  <c r="BW158" i="1"/>
  <c r="Q161" i="1"/>
  <c r="X165" i="1"/>
  <c r="Q171" i="1"/>
  <c r="AI174" i="1"/>
  <c r="BP174" i="1"/>
  <c r="CP175" i="1"/>
  <c r="AQ188" i="1"/>
  <c r="Q198" i="1"/>
  <c r="Z199" i="1"/>
  <c r="AQ199" i="1"/>
  <c r="BH201" i="1"/>
  <c r="Z202" i="1"/>
  <c r="J203" i="1"/>
  <c r="AQ203" i="1"/>
  <c r="BH211" i="1"/>
  <c r="CP211" i="1"/>
  <c r="AQ214" i="1"/>
  <c r="CW215" i="1"/>
  <c r="J222" i="1"/>
  <c r="BY235" i="1"/>
  <c r="CX286" i="1"/>
  <c r="CZ286" i="1" s="1"/>
  <c r="CW286" i="1"/>
  <c r="CW118" i="1"/>
  <c r="CI122" i="1"/>
  <c r="J123" i="1"/>
  <c r="BP125" i="1"/>
  <c r="CW125" i="1"/>
  <c r="CW128" i="1"/>
  <c r="CP129" i="1"/>
  <c r="CX132" i="1"/>
  <c r="CZ132" i="1" s="1"/>
  <c r="AZ135" i="1"/>
  <c r="CP135" i="1"/>
  <c r="AX136" i="1"/>
  <c r="AQ140" i="1"/>
  <c r="Z144" i="1"/>
  <c r="BW144" i="1"/>
  <c r="AI145" i="1"/>
  <c r="BP145" i="1"/>
  <c r="CW145" i="1"/>
  <c r="CI148" i="1"/>
  <c r="AQ149" i="1"/>
  <c r="AI150" i="1"/>
  <c r="CW150" i="1"/>
  <c r="Z154" i="1"/>
  <c r="AI155" i="1"/>
  <c r="BP155" i="1"/>
  <c r="CX157" i="1"/>
  <c r="CZ157" i="1" s="1"/>
  <c r="X160" i="1"/>
  <c r="CP160" i="1"/>
  <c r="BP164" i="1"/>
  <c r="CW164" i="1"/>
  <c r="CX166" i="1"/>
  <c r="CZ166" i="1" s="1"/>
  <c r="Q172" i="1"/>
  <c r="CI172" i="1"/>
  <c r="Z187" i="1"/>
  <c r="J189" i="1"/>
  <c r="Z189" i="1"/>
  <c r="AQ189" i="1"/>
  <c r="BY197" i="1"/>
  <c r="CP197" i="1"/>
  <c r="BP200" i="1"/>
  <c r="CW200" i="1"/>
  <c r="CI202" i="1"/>
  <c r="J210" i="1"/>
  <c r="CW210" i="1"/>
  <c r="BH212" i="1"/>
  <c r="CX221" i="1"/>
  <c r="CZ221" i="1" s="1"/>
  <c r="J223" i="1"/>
  <c r="CP246" i="1"/>
  <c r="BH250" i="1"/>
  <c r="J253" i="1"/>
  <c r="CW273" i="1"/>
  <c r="BW285" i="1"/>
  <c r="X295" i="1"/>
  <c r="J302" i="1"/>
  <c r="X316" i="1"/>
  <c r="BW319" i="1"/>
  <c r="BP320" i="1"/>
  <c r="CP340" i="1"/>
  <c r="AQ343" i="1"/>
  <c r="Q345" i="1"/>
  <c r="BR351" i="1"/>
  <c r="CT351" i="1"/>
  <c r="AZ176" i="1"/>
  <c r="BW180" i="1"/>
  <c r="CI184" i="1"/>
  <c r="AI186" i="1"/>
  <c r="CW186" i="1"/>
  <c r="AQ190" i="1"/>
  <c r="BH191" i="1"/>
  <c r="CP191" i="1"/>
  <c r="J194" i="1"/>
  <c r="CP195" i="1"/>
  <c r="BY199" i="1"/>
  <c r="CP199" i="1"/>
  <c r="AX200" i="1"/>
  <c r="X202" i="1"/>
  <c r="BH202" i="1"/>
  <c r="BW203" i="1"/>
  <c r="J204" i="1"/>
  <c r="Y204" i="1" s="1"/>
  <c r="AQ204" i="1"/>
  <c r="BY206" i="1"/>
  <c r="CP206" i="1"/>
  <c r="AQ208" i="1"/>
  <c r="CI210" i="1"/>
  <c r="J211" i="1"/>
  <c r="Q214" i="1"/>
  <c r="AX214" i="1"/>
  <c r="J215" i="1"/>
  <c r="CP216" i="1"/>
  <c r="BP218" i="1"/>
  <c r="CW218" i="1"/>
  <c r="CP219" i="1"/>
  <c r="BW220" i="1"/>
  <c r="AX225" i="1"/>
  <c r="BH227" i="1"/>
  <c r="CP227" i="1"/>
  <c r="CI228" i="1"/>
  <c r="CI233" i="1"/>
  <c r="BW234" i="1"/>
  <c r="AX237" i="1"/>
  <c r="X239" i="1"/>
  <c r="BH239" i="1"/>
  <c r="CI242" i="1"/>
  <c r="Q243" i="1"/>
  <c r="AI246" i="1"/>
  <c r="BP246" i="1"/>
  <c r="CP247" i="1"/>
  <c r="AI250" i="1"/>
  <c r="BP250" i="1"/>
  <c r="CP251" i="1"/>
  <c r="CX253" i="1"/>
  <c r="CZ253" i="1" s="1"/>
  <c r="J268" i="1"/>
  <c r="BW268" i="1"/>
  <c r="BX268" i="1" s="1"/>
  <c r="BZ268" i="1" s="1"/>
  <c r="AQ282" i="1"/>
  <c r="BW282" i="1"/>
  <c r="CP291" i="1"/>
  <c r="X292" i="1"/>
  <c r="Q293" i="1"/>
  <c r="CW295" i="1"/>
  <c r="CP296" i="1"/>
  <c r="Q297" i="1"/>
  <c r="BW297" i="1"/>
  <c r="Q342" i="1"/>
  <c r="Z182" i="1"/>
  <c r="Z184" i="1"/>
  <c r="BY184" i="1"/>
  <c r="Z191" i="1"/>
  <c r="Z197" i="1"/>
  <c r="AZ205" i="1"/>
  <c r="BY222" i="1"/>
  <c r="CX267" i="1"/>
  <c r="X270" i="1"/>
  <c r="CP270" i="1"/>
  <c r="CW275" i="1"/>
  <c r="CX302" i="1"/>
  <c r="CZ302" i="1" s="1"/>
  <c r="Q307" i="1"/>
  <c r="BP309" i="1"/>
  <c r="BH335" i="1"/>
  <c r="BY335" i="1"/>
  <c r="CX160" i="1"/>
  <c r="CZ160" i="1" s="1"/>
  <c r="AI162" i="1"/>
  <c r="Q165" i="1"/>
  <c r="BW165" i="1"/>
  <c r="J170" i="1"/>
  <c r="BW170" i="1"/>
  <c r="AZ171" i="1"/>
  <c r="BP171" i="1"/>
  <c r="AQ175" i="1"/>
  <c r="BH176" i="1"/>
  <c r="BW177" i="1"/>
  <c r="Q180" i="1"/>
  <c r="Q181" i="1"/>
  <c r="BY188" i="1"/>
  <c r="X189" i="1"/>
  <c r="BW194" i="1"/>
  <c r="BH196" i="1"/>
  <c r="AZ199" i="1"/>
  <c r="BY200" i="1"/>
  <c r="AQ201" i="1"/>
  <c r="BW201" i="1"/>
  <c r="Z203" i="1"/>
  <c r="AZ206" i="1"/>
  <c r="X207" i="1"/>
  <c r="Y207" i="1" s="1"/>
  <c r="X210" i="1"/>
  <c r="BW211" i="1"/>
  <c r="BY214" i="1"/>
  <c r="J224" i="1"/>
  <c r="AZ230" i="1"/>
  <c r="J231" i="1"/>
  <c r="CI244" i="1"/>
  <c r="AI247" i="1"/>
  <c r="Z255" i="1"/>
  <c r="BY256" i="1"/>
  <c r="J269" i="1"/>
  <c r="Q303" i="1"/>
  <c r="AQ304" i="1"/>
  <c r="AZ325" i="1"/>
  <c r="AI328" i="1"/>
  <c r="Q336" i="1"/>
  <c r="AQ162" i="1"/>
  <c r="CP164" i="1"/>
  <c r="Z166" i="1"/>
  <c r="Q175" i="1"/>
  <c r="AI176" i="1"/>
  <c r="CP176" i="1"/>
  <c r="Z178" i="1"/>
  <c r="AQ178" i="1"/>
  <c r="CI182" i="1"/>
  <c r="CW184" i="1"/>
  <c r="Q186" i="1"/>
  <c r="BH190" i="1"/>
  <c r="CP193" i="1"/>
  <c r="BW195" i="1"/>
  <c r="CI197" i="1"/>
  <c r="BW198" i="1"/>
  <c r="Q201" i="1"/>
  <c r="AX201" i="1"/>
  <c r="J202" i="1"/>
  <c r="CW202" i="1"/>
  <c r="BH203" i="1"/>
  <c r="CP203" i="1"/>
  <c r="AQ205" i="1"/>
  <c r="CI208" i="1"/>
  <c r="AX211" i="1"/>
  <c r="CI211" i="1"/>
  <c r="BW212" i="1"/>
  <c r="AZ213" i="1"/>
  <c r="BP213" i="1"/>
  <c r="CW213" i="1"/>
  <c r="BH214" i="1"/>
  <c r="AQ221" i="1"/>
  <c r="BW221" i="1"/>
  <c r="AI222" i="1"/>
  <c r="X223" i="1"/>
  <c r="Q224" i="1"/>
  <c r="BH225" i="1"/>
  <c r="Q226" i="1"/>
  <c r="CI226" i="1"/>
  <c r="CX231" i="1"/>
  <c r="CZ231" i="1" s="1"/>
  <c r="BH237" i="1"/>
  <c r="CP237" i="1"/>
  <c r="BP252" i="1"/>
  <c r="BH256" i="1"/>
  <c r="J259" i="1"/>
  <c r="AQ259" i="1"/>
  <c r="BW259" i="1"/>
  <c r="AI261" i="1"/>
  <c r="BP261" i="1"/>
  <c r="BH262" i="1"/>
  <c r="X263" i="1"/>
  <c r="CI264" i="1"/>
  <c r="J265" i="1"/>
  <c r="CW266" i="1"/>
  <c r="BH267" i="1"/>
  <c r="BW269" i="1"/>
  <c r="CW270" i="1"/>
  <c r="CI298" i="1"/>
  <c r="AI301" i="1"/>
  <c r="BP301" i="1"/>
  <c r="Q304" i="1"/>
  <c r="AI306" i="1"/>
  <c r="AQ309" i="1"/>
  <c r="BW309" i="1"/>
  <c r="AI310" i="1"/>
  <c r="CW310" i="1"/>
  <c r="AZ312" i="1"/>
  <c r="Q326" i="1"/>
  <c r="CW331" i="1"/>
  <c r="X333" i="1"/>
  <c r="Z345" i="1"/>
  <c r="CP234" i="1"/>
  <c r="AZ237" i="1"/>
  <c r="BY315" i="1"/>
  <c r="BY333" i="1"/>
  <c r="BH333" i="1"/>
  <c r="BH231" i="1"/>
  <c r="BH235" i="1"/>
  <c r="AI244" i="1"/>
  <c r="BP244" i="1"/>
  <c r="BH245" i="1"/>
  <c r="Q247" i="1"/>
  <c r="J248" i="1"/>
  <c r="BW248" i="1"/>
  <c r="BH249" i="1"/>
  <c r="CI250" i="1"/>
  <c r="Q251" i="1"/>
  <c r="J252" i="1"/>
  <c r="BW252" i="1"/>
  <c r="BW277" i="1"/>
  <c r="AI279" i="1"/>
  <c r="AI282" i="1"/>
  <c r="CW282" i="1"/>
  <c r="Q287" i="1"/>
  <c r="CI287" i="1"/>
  <c r="AI290" i="1"/>
  <c r="Q291" i="1"/>
  <c r="CP294" i="1"/>
  <c r="Z297" i="1"/>
  <c r="CI299" i="1"/>
  <c r="CP303" i="1"/>
  <c r="CI308" i="1"/>
  <c r="AQ318" i="1"/>
  <c r="BW318" i="1"/>
  <c r="Z320" i="1"/>
  <c r="BH321" i="1"/>
  <c r="BY321" i="1"/>
  <c r="CP321" i="1"/>
  <c r="Q323" i="1"/>
  <c r="CI323" i="1"/>
  <c r="AI339" i="1"/>
  <c r="BP339" i="1"/>
  <c r="CW339" i="1"/>
  <c r="BH340" i="1"/>
  <c r="Q341" i="1"/>
  <c r="J342" i="1"/>
  <c r="BW342" i="1"/>
  <c r="AQ345" i="1"/>
  <c r="CW346" i="1"/>
  <c r="J227" i="1"/>
  <c r="AQ227" i="1"/>
  <c r="BH228" i="1"/>
  <c r="AQ229" i="1"/>
  <c r="BP229" i="1"/>
  <c r="CP229" i="1"/>
  <c r="Q230" i="1"/>
  <c r="AQ230" i="1"/>
  <c r="AI232" i="1"/>
  <c r="CP232" i="1"/>
  <c r="J234" i="1"/>
  <c r="AI237" i="1"/>
  <c r="CX238" i="1"/>
  <c r="CZ238" i="1" s="1"/>
  <c r="J239" i="1"/>
  <c r="BW239" i="1"/>
  <c r="BN348" i="1"/>
  <c r="T17" i="5" s="1"/>
  <c r="X243" i="1"/>
  <c r="BH244" i="1"/>
  <c r="AZ245" i="1"/>
  <c r="AQ247" i="1"/>
  <c r="CP248" i="1"/>
  <c r="Q249" i="1"/>
  <c r="J250" i="1"/>
  <c r="AI251" i="1"/>
  <c r="CW251" i="1"/>
  <c r="CI253" i="1"/>
  <c r="CI259" i="1"/>
  <c r="Q260" i="1"/>
  <c r="CI260" i="1"/>
  <c r="AQ262" i="1"/>
  <c r="BH265" i="1"/>
  <c r="Q266" i="1"/>
  <c r="J267" i="1"/>
  <c r="BH268" i="1"/>
  <c r="Q269" i="1"/>
  <c r="Z270" i="1"/>
  <c r="AQ270" i="1"/>
  <c r="BW270" i="1"/>
  <c r="CW271" i="1"/>
  <c r="Z276" i="1"/>
  <c r="BW280" i="1"/>
  <c r="CW291" i="1"/>
  <c r="BW294" i="1"/>
  <c r="BW295" i="1"/>
  <c r="BY297" i="1"/>
  <c r="X299" i="1"/>
  <c r="BY300" i="1"/>
  <c r="CP300" i="1"/>
  <c r="Q302" i="1"/>
  <c r="BP303" i="1"/>
  <c r="X304" i="1"/>
  <c r="CP304" i="1"/>
  <c r="BY308" i="1"/>
  <c r="J310" i="1"/>
  <c r="BH311" i="1"/>
  <c r="BY322" i="1"/>
  <c r="BP335" i="1"/>
  <c r="J337" i="1"/>
  <c r="AZ339" i="1"/>
  <c r="AQ340" i="1"/>
  <c r="BH342" i="1"/>
  <c r="Q344" i="1"/>
  <c r="AQ344" i="1"/>
  <c r="BW344" i="1"/>
  <c r="BW347" i="1"/>
  <c r="BE351" i="1"/>
  <c r="BS351" i="1"/>
  <c r="AI243" i="1"/>
  <c r="BP243" i="1"/>
  <c r="BP248" i="1"/>
  <c r="AZ249" i="1"/>
  <c r="AQ251" i="1"/>
  <c r="Q256" i="1"/>
  <c r="Q261" i="1"/>
  <c r="CI261" i="1"/>
  <c r="J263" i="1"/>
  <c r="Y263" i="1" s="1"/>
  <c r="AQ263" i="1"/>
  <c r="BW263" i="1"/>
  <c r="BP264" i="1"/>
  <c r="AQ267" i="1"/>
  <c r="AI268" i="1"/>
  <c r="AQ271" i="1"/>
  <c r="X273" i="1"/>
  <c r="CP273" i="1"/>
  <c r="Q275" i="1"/>
  <c r="AQ276" i="1"/>
  <c r="AI277" i="1"/>
  <c r="BP277" i="1"/>
  <c r="CW277" i="1"/>
  <c r="CP279" i="1"/>
  <c r="CI280" i="1"/>
  <c r="BY282" i="1"/>
  <c r="BP284" i="1"/>
  <c r="BW291" i="1"/>
  <c r="BP292" i="1"/>
  <c r="BP296" i="1"/>
  <c r="BH297" i="1"/>
  <c r="CP301" i="1"/>
  <c r="BP304" i="1"/>
  <c r="X305" i="1"/>
  <c r="BH305" i="1"/>
  <c r="Z307" i="1"/>
  <c r="AQ307" i="1"/>
  <c r="AI308" i="1"/>
  <c r="BP311" i="1"/>
  <c r="X312" i="1"/>
  <c r="X314" i="1"/>
  <c r="J316" i="1"/>
  <c r="AQ316" i="1"/>
  <c r="BW316" i="1"/>
  <c r="AI317" i="1"/>
  <c r="CW317" i="1"/>
  <c r="X319" i="1"/>
  <c r="CP319" i="1"/>
  <c r="CI320" i="1"/>
  <c r="BW321" i="1"/>
  <c r="CW323" i="1"/>
  <c r="X324" i="1"/>
  <c r="AI326" i="1"/>
  <c r="BP326" i="1"/>
  <c r="AQ332" i="1"/>
  <c r="AI338" i="1"/>
  <c r="CW341" i="1"/>
  <c r="BH343" i="1"/>
  <c r="CP343" i="1"/>
  <c r="BY345" i="1"/>
  <c r="Q346" i="1"/>
  <c r="X260" i="1"/>
  <c r="BH260" i="1"/>
  <c r="CP260" i="1"/>
  <c r="CI262" i="1"/>
  <c r="BP265" i="1"/>
  <c r="CW265" i="1"/>
  <c r="CW268" i="1"/>
  <c r="BY269" i="1"/>
  <c r="CP269" i="1"/>
  <c r="Q270" i="1"/>
  <c r="BP289" i="1"/>
  <c r="AI293" i="1"/>
  <c r="BP293" i="1"/>
  <c r="BY294" i="1"/>
  <c r="BP300" i="1"/>
  <c r="CW300" i="1"/>
  <c r="CI306" i="1"/>
  <c r="BW307" i="1"/>
  <c r="BP308" i="1"/>
  <c r="CW308" i="1"/>
  <c r="AI318" i="1"/>
  <c r="AQ322" i="1"/>
  <c r="BW322" i="1"/>
  <c r="CP324" i="1"/>
  <c r="Z329" i="1"/>
  <c r="AI330" i="1"/>
  <c r="J333" i="1"/>
  <c r="BY334" i="1"/>
  <c r="AI336" i="1"/>
  <c r="BH339" i="1"/>
  <c r="BP342" i="1"/>
  <c r="X310" i="1"/>
  <c r="AQ311" i="1"/>
  <c r="BW311" i="1"/>
  <c r="AI312" i="1"/>
  <c r="AQ317" i="1"/>
  <c r="Z323" i="1"/>
  <c r="BW323" i="1"/>
  <c r="AI324" i="1"/>
  <c r="AQ326" i="1"/>
  <c r="BP327" i="1"/>
  <c r="CI329" i="1"/>
  <c r="X337" i="1"/>
  <c r="AI343" i="1"/>
  <c r="CW343" i="1"/>
  <c r="X346" i="1"/>
  <c r="CX177" i="1"/>
  <c r="CZ177" i="1" s="1"/>
  <c r="CI177" i="1"/>
  <c r="Q6" i="1"/>
  <c r="AQ6" i="1"/>
  <c r="BW6" i="1"/>
  <c r="X7" i="1"/>
  <c r="AQ9" i="1"/>
  <c r="CW9" i="1"/>
  <c r="BW10" i="1"/>
  <c r="Z11" i="1"/>
  <c r="J12" i="1"/>
  <c r="AQ12" i="1"/>
  <c r="CW12" i="1"/>
  <c r="BP173" i="1"/>
  <c r="CI30" i="1"/>
  <c r="Q34" i="1"/>
  <c r="CX56" i="1"/>
  <c r="CZ56" i="1" s="1"/>
  <c r="Q68" i="1"/>
  <c r="CI120" i="1"/>
  <c r="CX120" i="1"/>
  <c r="CZ120" i="1" s="1"/>
  <c r="X11" i="1"/>
  <c r="CW57" i="1"/>
  <c r="CW60" i="1"/>
  <c r="Z206" i="1"/>
  <c r="J206" i="1"/>
  <c r="BH5" i="1"/>
  <c r="CP5" i="1"/>
  <c r="CW6" i="1"/>
  <c r="BY7" i="1"/>
  <c r="CP7" i="1"/>
  <c r="CW8" i="1"/>
  <c r="BY10" i="1"/>
  <c r="AZ11" i="1"/>
  <c r="CP11" i="1"/>
  <c r="Q12" i="1"/>
  <c r="BF20" i="1"/>
  <c r="R8" i="5" s="1"/>
  <c r="CN20" i="1"/>
  <c r="AB8" i="5" s="1"/>
  <c r="AI24" i="1"/>
  <c r="CI27" i="1"/>
  <c r="CP38" i="1"/>
  <c r="J42" i="1"/>
  <c r="J48" i="1"/>
  <c r="BH50" i="1"/>
  <c r="Q60" i="1"/>
  <c r="AI73" i="1"/>
  <c r="AZ73" i="1"/>
  <c r="CX75" i="1"/>
  <c r="CZ75" i="1" s="1"/>
  <c r="CI75" i="1"/>
  <c r="BY78" i="1"/>
  <c r="CI79" i="1"/>
  <c r="BN13" i="1"/>
  <c r="T6" i="5" s="1"/>
  <c r="BY6" i="1"/>
  <c r="CX6" i="1"/>
  <c r="CZ6" i="1" s="1"/>
  <c r="BY8" i="1"/>
  <c r="Z9" i="1"/>
  <c r="BY9" i="1"/>
  <c r="BY12" i="1"/>
  <c r="CP15" i="1"/>
  <c r="Q17" i="1"/>
  <c r="BH18" i="1"/>
  <c r="Q19" i="1"/>
  <c r="BY26" i="1"/>
  <c r="BP26" i="1"/>
  <c r="BW52" i="1"/>
  <c r="AI53" i="1"/>
  <c r="Z73" i="1"/>
  <c r="J73" i="1"/>
  <c r="Z98" i="1"/>
  <c r="Q98" i="1"/>
  <c r="AZ96" i="1"/>
  <c r="AI96" i="1"/>
  <c r="AI113" i="1"/>
  <c r="AZ113" i="1"/>
  <c r="CU13" i="1"/>
  <c r="AD6" i="5" s="1"/>
  <c r="BP7" i="1"/>
  <c r="X8" i="1"/>
  <c r="CZ8" i="1"/>
  <c r="CI9" i="1"/>
  <c r="CP10" i="1"/>
  <c r="Q11" i="1"/>
  <c r="X12" i="1"/>
  <c r="CI12" i="1"/>
  <c r="AI15" i="1"/>
  <c r="BP15" i="1"/>
  <c r="CU20" i="1"/>
  <c r="AD8" i="5" s="1"/>
  <c r="Z17" i="1"/>
  <c r="CI17" i="1"/>
  <c r="Z26" i="1"/>
  <c r="AQ46" i="1"/>
  <c r="CI61" i="1"/>
  <c r="CP76" i="1"/>
  <c r="AX77" i="1"/>
  <c r="Q84" i="1"/>
  <c r="AX84" i="1"/>
  <c r="J96" i="1"/>
  <c r="Z96" i="1"/>
  <c r="Z7" i="1"/>
  <c r="CX31" i="1"/>
  <c r="CZ31" i="1" s="1"/>
  <c r="BH86" i="1"/>
  <c r="BY86" i="1"/>
  <c r="Z101" i="1"/>
  <c r="J101" i="1"/>
  <c r="V13" i="1"/>
  <c r="F6" i="5" s="1"/>
  <c r="AZ6" i="1"/>
  <c r="BP10" i="1"/>
  <c r="AX11" i="1"/>
  <c r="BY15" i="1"/>
  <c r="BU20" i="1"/>
  <c r="V8" i="5" s="1"/>
  <c r="CW22" i="1"/>
  <c r="CX32" i="1"/>
  <c r="CZ32" i="1" s="1"/>
  <c r="CI32" i="1"/>
  <c r="CW34" i="1"/>
  <c r="Q46" i="1"/>
  <c r="AX49" i="1"/>
  <c r="AZ51" i="1"/>
  <c r="BP51" i="1"/>
  <c r="CW68" i="1"/>
  <c r="BY70" i="1"/>
  <c r="BW74" i="1"/>
  <c r="CW31" i="1"/>
  <c r="AZ34" i="1"/>
  <c r="J38" i="1"/>
  <c r="AI38" i="1"/>
  <c r="CP45" i="1"/>
  <c r="AZ46" i="1"/>
  <c r="BP48" i="1"/>
  <c r="Z49" i="1"/>
  <c r="AX54" i="1"/>
  <c r="CW56" i="1"/>
  <c r="AX57" i="1"/>
  <c r="X86" i="1"/>
  <c r="BY90" i="1"/>
  <c r="Z93" i="1"/>
  <c r="J93" i="1"/>
  <c r="CX95" i="1"/>
  <c r="CZ95" i="1" s="1"/>
  <c r="CI95" i="1"/>
  <c r="AI103" i="1"/>
  <c r="J144" i="1"/>
  <c r="CX162" i="1"/>
  <c r="CZ162" i="1" s="1"/>
  <c r="CI162" i="1"/>
  <c r="J18" i="1"/>
  <c r="BP18" i="1"/>
  <c r="Z19" i="1"/>
  <c r="CX19" i="1"/>
  <c r="CZ19" i="1" s="1"/>
  <c r="CW24" i="1"/>
  <c r="BH25" i="1"/>
  <c r="AQ16" i="1"/>
  <c r="BW26" i="1"/>
  <c r="CP27" i="1"/>
  <c r="BP30" i="1"/>
  <c r="CP30" i="1"/>
  <c r="Q31" i="1"/>
  <c r="AQ31" i="1"/>
  <c r="X32" i="1"/>
  <c r="CX34" i="1"/>
  <c r="CZ34" i="1" s="1"/>
  <c r="Z37" i="1"/>
  <c r="BH37" i="1"/>
  <c r="CI37" i="1"/>
  <c r="Z39" i="1"/>
  <c r="CX41" i="1"/>
  <c r="CZ41" i="1" s="1"/>
  <c r="BY48" i="1"/>
  <c r="Q51" i="1"/>
  <c r="AX60" i="1"/>
  <c r="CW62" i="1"/>
  <c r="BY68" i="1"/>
  <c r="AI72" i="1"/>
  <c r="BY74" i="1"/>
  <c r="CW78" i="1"/>
  <c r="AZ88" i="1"/>
  <c r="BY98" i="1"/>
  <c r="Z103" i="1"/>
  <c r="J103" i="1"/>
  <c r="CI130" i="1"/>
  <c r="CX130" i="1"/>
  <c r="CZ130" i="1" s="1"/>
  <c r="CX173" i="1"/>
  <c r="CZ173" i="1" s="1"/>
  <c r="CX26" i="1"/>
  <c r="CZ26" i="1" s="1"/>
  <c r="AZ32" i="1"/>
  <c r="BP32" i="1"/>
  <c r="CP32" i="1"/>
  <c r="BY38" i="1"/>
  <c r="CI39" i="1"/>
  <c r="Q40" i="1"/>
  <c r="AQ40" i="1"/>
  <c r="Z41" i="1"/>
  <c r="BP28" i="1"/>
  <c r="CX42" i="1"/>
  <c r="CZ42" i="1" s="1"/>
  <c r="CP44" i="1"/>
  <c r="AQ47" i="1"/>
  <c r="Q48" i="1"/>
  <c r="CP49" i="1"/>
  <c r="BP50" i="1"/>
  <c r="X51" i="1"/>
  <c r="BW51" i="1"/>
  <c r="AI52" i="1"/>
  <c r="CP52" i="1"/>
  <c r="Q53" i="1"/>
  <c r="BP55" i="1"/>
  <c r="AX56" i="1"/>
  <c r="CW59" i="1"/>
  <c r="AQ64" i="1"/>
  <c r="CI68" i="1"/>
  <c r="AQ69" i="1"/>
  <c r="AI71" i="1"/>
  <c r="BH71" i="1"/>
  <c r="AZ72" i="1"/>
  <c r="CP72" i="1"/>
  <c r="CW73" i="1"/>
  <c r="X74" i="1"/>
  <c r="CX74" i="1"/>
  <c r="CZ74" i="1" s="1"/>
  <c r="Z75" i="1"/>
  <c r="CP75" i="1"/>
  <c r="AI77" i="1"/>
  <c r="CI77" i="1"/>
  <c r="Q78" i="1"/>
  <c r="BP79" i="1"/>
  <c r="CW86" i="1"/>
  <c r="BH87" i="1"/>
  <c r="AQ91" i="1"/>
  <c r="AQ97" i="1"/>
  <c r="CX105" i="1"/>
  <c r="CZ105" i="1" s="1"/>
  <c r="BP106" i="1"/>
  <c r="AX129" i="1"/>
  <c r="AZ129" i="1"/>
  <c r="Q18" i="1"/>
  <c r="AZ19" i="1"/>
  <c r="V35" i="1"/>
  <c r="F10" i="5" s="1"/>
  <c r="BY22" i="1"/>
  <c r="Z25" i="1"/>
  <c r="Q30" i="1"/>
  <c r="CI31" i="1"/>
  <c r="Z32" i="1"/>
  <c r="AZ33" i="1"/>
  <c r="CI34" i="1"/>
  <c r="AI39" i="1"/>
  <c r="BP39" i="1"/>
  <c r="CP39" i="1"/>
  <c r="BY40" i="1"/>
  <c r="Q28" i="1"/>
  <c r="Z42" i="1"/>
  <c r="CX43" i="1"/>
  <c r="CZ43" i="1" s="1"/>
  <c r="CP46" i="1"/>
  <c r="Z48" i="1"/>
  <c r="BY50" i="1"/>
  <c r="CI51" i="1"/>
  <c r="AQ52" i="1"/>
  <c r="BP54" i="1"/>
  <c r="CP54" i="1"/>
  <c r="AQ55" i="1"/>
  <c r="AQ58" i="1"/>
  <c r="AQ61" i="1"/>
  <c r="AX67" i="1"/>
  <c r="AI68" i="1"/>
  <c r="CW69" i="1"/>
  <c r="CI70" i="1"/>
  <c r="Z71" i="1"/>
  <c r="Q72" i="1"/>
  <c r="AI74" i="1"/>
  <c r="BY76" i="1"/>
  <c r="Z77" i="1"/>
  <c r="Z79" i="1"/>
  <c r="J79" i="1"/>
  <c r="Q81" i="1"/>
  <c r="AX81" i="1"/>
  <c r="BP82" i="1"/>
  <c r="BX82" i="1" s="1"/>
  <c r="BW86" i="1"/>
  <c r="AI87" i="1"/>
  <c r="J89" i="1"/>
  <c r="BW89" i="1"/>
  <c r="CX93" i="1"/>
  <c r="CZ93" i="1" s="1"/>
  <c r="Q155" i="1"/>
  <c r="X159" i="1"/>
  <c r="Z18" i="1"/>
  <c r="CX18" i="1"/>
  <c r="BH19" i="1"/>
  <c r="J23" i="1"/>
  <c r="BP23" i="1"/>
  <c r="CI173" i="1"/>
  <c r="CI26" i="1"/>
  <c r="BY31" i="1"/>
  <c r="CX33" i="1"/>
  <c r="CZ33" i="1" s="1"/>
  <c r="BP34" i="1"/>
  <c r="AZ40" i="1"/>
  <c r="AI41" i="1"/>
  <c r="BP41" i="1"/>
  <c r="BY28" i="1"/>
  <c r="Z43" i="1"/>
  <c r="CX45" i="1"/>
  <c r="CZ45" i="1" s="1"/>
  <c r="BY47" i="1"/>
  <c r="BY56" i="1"/>
  <c r="AQ66" i="1"/>
  <c r="BP68" i="1"/>
  <c r="CP68" i="1"/>
  <c r="Q69" i="1"/>
  <c r="BW69" i="1"/>
  <c r="AQ71" i="1"/>
  <c r="CP71" i="1"/>
  <c r="AX72" i="1"/>
  <c r="X73" i="1"/>
  <c r="BP74" i="1"/>
  <c r="CP74" i="1"/>
  <c r="CW75" i="1"/>
  <c r="CX99" i="1"/>
  <c r="CZ99" i="1" s="1"/>
  <c r="CI99" i="1"/>
  <c r="Z104" i="1"/>
  <c r="BY105" i="1"/>
  <c r="BH113" i="1"/>
  <c r="BY113" i="1"/>
  <c r="AI128" i="1"/>
  <c r="AZ128" i="1"/>
  <c r="H35" i="1"/>
  <c r="B10" i="5" s="1"/>
  <c r="AI22" i="1"/>
  <c r="BN35" i="1"/>
  <c r="T10" i="5" s="1"/>
  <c r="AQ23" i="1"/>
  <c r="CW23" i="1"/>
  <c r="J25" i="1"/>
  <c r="AQ25" i="1"/>
  <c r="BW25" i="1"/>
  <c r="CW25" i="1"/>
  <c r="BH26" i="1"/>
  <c r="J27" i="1"/>
  <c r="CP31" i="1"/>
  <c r="AQ39" i="1"/>
  <c r="CW39" i="1"/>
  <c r="AZ28" i="1"/>
  <c r="AI42" i="1"/>
  <c r="BP42" i="1"/>
  <c r="AQ29" i="1"/>
  <c r="BY29" i="1"/>
  <c r="Q44" i="1"/>
  <c r="BP44" i="1"/>
  <c r="Z45" i="1"/>
  <c r="Q47" i="1"/>
  <c r="CP48" i="1"/>
  <c r="Z50" i="1"/>
  <c r="AI51" i="1"/>
  <c r="CP51" i="1"/>
  <c r="Q52" i="1"/>
  <c r="CI53" i="1"/>
  <c r="AQ54" i="1"/>
  <c r="CP56" i="1"/>
  <c r="AQ57" i="1"/>
  <c r="AQ63" i="1"/>
  <c r="CW63" i="1"/>
  <c r="BP70" i="1"/>
  <c r="CP70" i="1"/>
  <c r="CX73" i="1"/>
  <c r="CZ73" i="1" s="1"/>
  <c r="AZ74" i="1"/>
  <c r="Q75" i="1"/>
  <c r="BW75" i="1"/>
  <c r="AI76" i="1"/>
  <c r="CW77" i="1"/>
  <c r="BH78" i="1"/>
  <c r="CI81" i="1"/>
  <c r="Q89" i="1"/>
  <c r="AX89" i="1"/>
  <c r="Q94" i="1"/>
  <c r="AX94" i="1"/>
  <c r="AI101" i="1"/>
  <c r="AQ104" i="1"/>
  <c r="AZ104" i="1"/>
  <c r="AI78" i="1"/>
  <c r="CW79" i="1"/>
  <c r="X80" i="1"/>
  <c r="CX80" i="1"/>
  <c r="CZ80" i="1" s="1"/>
  <c r="Q82" i="1"/>
  <c r="AI84" i="1"/>
  <c r="BP84" i="1"/>
  <c r="CP84" i="1"/>
  <c r="Q85" i="1"/>
  <c r="BW85" i="1"/>
  <c r="AQ87" i="1"/>
  <c r="CP87" i="1"/>
  <c r="AX88" i="1"/>
  <c r="X89" i="1"/>
  <c r="CX89" i="1"/>
  <c r="CZ89" i="1" s="1"/>
  <c r="Q91" i="1"/>
  <c r="BW91" i="1"/>
  <c r="CI92" i="1"/>
  <c r="AQ93" i="1"/>
  <c r="AY93" i="1" s="1"/>
  <c r="BY94" i="1"/>
  <c r="AZ100" i="1"/>
  <c r="CI102" i="1"/>
  <c r="CW131" i="1"/>
  <c r="AX134" i="1"/>
  <c r="J168" i="1"/>
  <c r="CW185" i="1"/>
  <c r="Z108" i="1"/>
  <c r="X140" i="1"/>
  <c r="CW76" i="1"/>
  <c r="BH77" i="1"/>
  <c r="AZ78" i="1"/>
  <c r="BP80" i="1"/>
  <c r="CP80" i="1"/>
  <c r="CW82" i="1"/>
  <c r="BH83" i="1"/>
  <c r="X85" i="1"/>
  <c r="CW87" i="1"/>
  <c r="AI89" i="1"/>
  <c r="CI89" i="1"/>
  <c r="AX90" i="1"/>
  <c r="X91" i="1"/>
  <c r="CX91" i="1"/>
  <c r="CZ91" i="1" s="1"/>
  <c r="AI92" i="1"/>
  <c r="BP92" i="1"/>
  <c r="CP92" i="1"/>
  <c r="BW93" i="1"/>
  <c r="AI94" i="1"/>
  <c r="Q96" i="1"/>
  <c r="AQ96" i="1"/>
  <c r="CI98" i="1"/>
  <c r="AQ99" i="1"/>
  <c r="CP99" i="1"/>
  <c r="AI100" i="1"/>
  <c r="BW103" i="1"/>
  <c r="X105" i="1"/>
  <c r="AZ112" i="1"/>
  <c r="CX119" i="1"/>
  <c r="CZ119" i="1" s="1"/>
  <c r="CX128" i="1"/>
  <c r="CZ128" i="1" s="1"/>
  <c r="AX131" i="1"/>
  <c r="CX131" i="1"/>
  <c r="CZ131" i="1" s="1"/>
  <c r="CX134" i="1"/>
  <c r="CZ134" i="1" s="1"/>
  <c r="CW135" i="1"/>
  <c r="BW142" i="1"/>
  <c r="CW146" i="1"/>
  <c r="X152" i="1"/>
  <c r="AI166" i="1"/>
  <c r="BP166" i="1"/>
  <c r="Q179" i="1"/>
  <c r="BH85" i="1"/>
  <c r="BW87" i="1"/>
  <c r="CP89" i="1"/>
  <c r="BH91" i="1"/>
  <c r="BP94" i="1"/>
  <c r="Q100" i="1"/>
  <c r="BY106" i="1"/>
  <c r="AQ108" i="1"/>
  <c r="BW111" i="1"/>
  <c r="Z112" i="1"/>
  <c r="CI115" i="1"/>
  <c r="AI117" i="1"/>
  <c r="CI126" i="1"/>
  <c r="CW130" i="1"/>
  <c r="AZ132" i="1"/>
  <c r="Q133" i="1"/>
  <c r="CX133" i="1"/>
  <c r="CZ133" i="1" s="1"/>
  <c r="CX136" i="1"/>
  <c r="CZ136" i="1" s="1"/>
  <c r="AZ158" i="1"/>
  <c r="CI160" i="1"/>
  <c r="BY165" i="1"/>
  <c r="CX165" i="1"/>
  <c r="CZ165" i="1" s="1"/>
  <c r="AZ167" i="1"/>
  <c r="AI167" i="1"/>
  <c r="CI101" i="1"/>
  <c r="CX121" i="1"/>
  <c r="CZ121" i="1" s="1"/>
  <c r="AZ134" i="1"/>
  <c r="J140" i="1"/>
  <c r="Z140" i="1"/>
  <c r="AI141" i="1"/>
  <c r="BW175" i="1"/>
  <c r="BY175" i="1"/>
  <c r="CX76" i="1"/>
  <c r="CZ76" i="1" s="1"/>
  <c r="AQ77" i="1"/>
  <c r="Q80" i="1"/>
  <c r="AX80" i="1"/>
  <c r="X81" i="1"/>
  <c r="CI82" i="1"/>
  <c r="AQ83" i="1"/>
  <c r="CP85" i="1"/>
  <c r="Q86" i="1"/>
  <c r="AI88" i="1"/>
  <c r="BP88" i="1"/>
  <c r="CW89" i="1"/>
  <c r="X90" i="1"/>
  <c r="CI90" i="1"/>
  <c r="Z91" i="1"/>
  <c r="CP91" i="1"/>
  <c r="AX92" i="1"/>
  <c r="CW92" i="1"/>
  <c r="BH93" i="1"/>
  <c r="X95" i="1"/>
  <c r="AX96" i="1"/>
  <c r="CX96" i="1"/>
  <c r="CZ96" i="1" s="1"/>
  <c r="CP97" i="1"/>
  <c r="BP98" i="1"/>
  <c r="CP101" i="1"/>
  <c r="Q102" i="1"/>
  <c r="AI105" i="1"/>
  <c r="CI105" i="1"/>
  <c r="CP106" i="1"/>
  <c r="AQ107" i="1"/>
  <c r="AX108" i="1"/>
  <c r="BH109" i="1"/>
  <c r="CW110" i="1"/>
  <c r="X113" i="1"/>
  <c r="BW114" i="1"/>
  <c r="BH115" i="1"/>
  <c r="J117" i="1"/>
  <c r="CX123" i="1"/>
  <c r="CZ123" i="1" s="1"/>
  <c r="BW127" i="1"/>
  <c r="Q139" i="1"/>
  <c r="AZ146" i="1"/>
  <c r="BH149" i="1"/>
  <c r="Q150" i="1"/>
  <c r="CI150" i="1"/>
  <c r="J151" i="1"/>
  <c r="AI156" i="1"/>
  <c r="CX161" i="1"/>
  <c r="CZ161" i="1" s="1"/>
  <c r="Q166" i="1"/>
  <c r="X174" i="1"/>
  <c r="AI178" i="1"/>
  <c r="CZ113" i="1"/>
  <c r="BY114" i="1"/>
  <c r="Z116" i="1"/>
  <c r="CI119" i="1"/>
  <c r="CI121" i="1"/>
  <c r="AI122" i="1"/>
  <c r="CI123" i="1"/>
  <c r="CX126" i="1"/>
  <c r="CX127" i="1"/>
  <c r="CZ127" i="1" s="1"/>
  <c r="X129" i="1"/>
  <c r="X131" i="1"/>
  <c r="X132" i="1"/>
  <c r="BW132" i="1"/>
  <c r="BW133" i="1"/>
  <c r="X134" i="1"/>
  <c r="BW134" i="1"/>
  <c r="BW135" i="1"/>
  <c r="X136" i="1"/>
  <c r="BW136" i="1"/>
  <c r="CI140" i="1"/>
  <c r="AQ141" i="1"/>
  <c r="CW141" i="1"/>
  <c r="X142" i="1"/>
  <c r="AI143" i="1"/>
  <c r="BP143" i="1"/>
  <c r="Q144" i="1"/>
  <c r="CW144" i="1"/>
  <c r="Q146" i="1"/>
  <c r="AI147" i="1"/>
  <c r="Q148" i="1"/>
  <c r="AZ148" i="1"/>
  <c r="BH150" i="1"/>
  <c r="Q151" i="1"/>
  <c r="BH152" i="1"/>
  <c r="AI154" i="1"/>
  <c r="CI155" i="1"/>
  <c r="AQ156" i="1"/>
  <c r="CP157" i="1"/>
  <c r="Q158" i="1"/>
  <c r="J161" i="1"/>
  <c r="CI163" i="1"/>
  <c r="AI164" i="1"/>
  <c r="AQ166" i="1"/>
  <c r="BW166" i="1"/>
  <c r="CW166" i="1"/>
  <c r="CX168" i="1"/>
  <c r="CZ168" i="1" s="1"/>
  <c r="AQ169" i="1"/>
  <c r="BW169" i="1"/>
  <c r="CI171" i="1"/>
  <c r="AQ172" i="1"/>
  <c r="BW172" i="1"/>
  <c r="Q233" i="1"/>
  <c r="Z233" i="1"/>
  <c r="Z214" i="1"/>
  <c r="J214" i="1"/>
  <c r="BY110" i="1"/>
  <c r="CI112" i="1"/>
  <c r="CI113" i="1"/>
  <c r="CI114" i="1"/>
  <c r="AI116" i="1"/>
  <c r="CI116" i="1"/>
  <c r="CP117" i="1"/>
  <c r="AQ118" i="1"/>
  <c r="CP118" i="1"/>
  <c r="AQ119" i="1"/>
  <c r="AQ120" i="1"/>
  <c r="CP120" i="1"/>
  <c r="AQ121" i="1"/>
  <c r="CP122" i="1"/>
  <c r="AQ123" i="1"/>
  <c r="AQ124" i="1"/>
  <c r="CP124" i="1"/>
  <c r="CP125" i="1"/>
  <c r="AQ126" i="1"/>
  <c r="AI127" i="1"/>
  <c r="Z128" i="1"/>
  <c r="BY128" i="1"/>
  <c r="BY129" i="1"/>
  <c r="CI129" i="1"/>
  <c r="AI130" i="1"/>
  <c r="AZ136" i="1"/>
  <c r="BW143" i="1"/>
  <c r="X144" i="1"/>
  <c r="BY149" i="1"/>
  <c r="BW151" i="1"/>
  <c r="AI152" i="1"/>
  <c r="AZ156" i="1"/>
  <c r="BH160" i="1"/>
  <c r="BP161" i="1"/>
  <c r="Q162" i="1"/>
  <c r="AX162" i="1"/>
  <c r="J163" i="1"/>
  <c r="BY163" i="1"/>
  <c r="Z164" i="1"/>
  <c r="AZ165" i="1"/>
  <c r="AZ166" i="1"/>
  <c r="BH167" i="1"/>
  <c r="J178" i="1"/>
  <c r="BY205" i="1"/>
  <c r="BH205" i="1"/>
  <c r="CW123" i="1"/>
  <c r="AQ125" i="1"/>
  <c r="CP126" i="1"/>
  <c r="AQ127" i="1"/>
  <c r="CP127" i="1"/>
  <c r="Z129" i="1"/>
  <c r="BY132" i="1"/>
  <c r="BY133" i="1"/>
  <c r="BY136" i="1"/>
  <c r="AG240" i="1"/>
  <c r="J14" i="5" s="1"/>
  <c r="BH139" i="1"/>
  <c r="CI141" i="1"/>
  <c r="BH146" i="1"/>
  <c r="CW147" i="1"/>
  <c r="X148" i="1"/>
  <c r="CP148" i="1"/>
  <c r="AQ152" i="1"/>
  <c r="BW152" i="1"/>
  <c r="BP153" i="1"/>
  <c r="CW155" i="1"/>
  <c r="J157" i="1"/>
  <c r="AQ157" i="1"/>
  <c r="J159" i="1"/>
  <c r="CI159" i="1"/>
  <c r="BP160" i="1"/>
  <c r="BW161" i="1"/>
  <c r="X162" i="1"/>
  <c r="AZ164" i="1"/>
  <c r="X166" i="1"/>
  <c r="CW167" i="1"/>
  <c r="CP168" i="1"/>
  <c r="BY169" i="1"/>
  <c r="BY180" i="1"/>
  <c r="BY183" i="1"/>
  <c r="AI187" i="1"/>
  <c r="Z201" i="1"/>
  <c r="AI109" i="1"/>
  <c r="CI109" i="1"/>
  <c r="CI110" i="1"/>
  <c r="AI111" i="1"/>
  <c r="AQ131" i="1"/>
  <c r="CP131" i="1"/>
  <c r="Z133" i="1"/>
  <c r="AI133" i="1"/>
  <c r="AI135" i="1"/>
  <c r="BN240" i="1"/>
  <c r="T14" i="5" s="1"/>
  <c r="CW142" i="1"/>
  <c r="J145" i="1"/>
  <c r="AZ149" i="1"/>
  <c r="CX149" i="1"/>
  <c r="CZ149" i="1" s="1"/>
  <c r="BW150" i="1"/>
  <c r="BH151" i="1"/>
  <c r="Q152" i="1"/>
  <c r="CP156" i="1"/>
  <c r="Q157" i="1"/>
  <c r="CP158" i="1"/>
  <c r="Q159" i="1"/>
  <c r="BY159" i="1"/>
  <c r="CP159" i="1"/>
  <c r="CW160" i="1"/>
  <c r="CP162" i="1"/>
  <c r="BP163" i="1"/>
  <c r="Q164" i="1"/>
  <c r="CX164" i="1"/>
  <c r="CZ164" i="1" s="1"/>
  <c r="CI166" i="1"/>
  <c r="AI168" i="1"/>
  <c r="BP168" i="1"/>
  <c r="Z179" i="1"/>
  <c r="BY213" i="1"/>
  <c r="BH213" i="1"/>
  <c r="CI108" i="1"/>
  <c r="AQ109" i="1"/>
  <c r="CP109" i="1"/>
  <c r="CP110" i="1"/>
  <c r="AQ111" i="1"/>
  <c r="CW112" i="1"/>
  <c r="AX113" i="1"/>
  <c r="CW113" i="1"/>
  <c r="CW114" i="1"/>
  <c r="CW115" i="1"/>
  <c r="AX116" i="1"/>
  <c r="AX117" i="1"/>
  <c r="BW117" i="1"/>
  <c r="AX125" i="1"/>
  <c r="AQ132" i="1"/>
  <c r="CP132" i="1"/>
  <c r="AQ133" i="1"/>
  <c r="CP134" i="1"/>
  <c r="AQ135" i="1"/>
  <c r="AQ136" i="1"/>
  <c r="CP136" i="1"/>
  <c r="AI139" i="1"/>
  <c r="BW140" i="1"/>
  <c r="Q142" i="1"/>
  <c r="X143" i="1"/>
  <c r="AI144" i="1"/>
  <c r="Q145" i="1"/>
  <c r="AQ145" i="1"/>
  <c r="AI146" i="1"/>
  <c r="BP146" i="1"/>
  <c r="CW148" i="1"/>
  <c r="AI151" i="1"/>
  <c r="AQ153" i="1"/>
  <c r="BP158" i="1"/>
  <c r="Z160" i="1"/>
  <c r="AQ160" i="1"/>
  <c r="BP162" i="1"/>
  <c r="X163" i="1"/>
  <c r="AX163" i="1"/>
  <c r="BW163" i="1"/>
  <c r="X164" i="1"/>
  <c r="X176" i="1"/>
  <c r="Z209" i="1"/>
  <c r="CI181" i="1"/>
  <c r="AQ182" i="1"/>
  <c r="CW182" i="1"/>
  <c r="CZ183" i="1"/>
  <c r="BH184" i="1"/>
  <c r="J185" i="1"/>
  <c r="AX186" i="1"/>
  <c r="CW188" i="1"/>
  <c r="CP189" i="1"/>
  <c r="BW192" i="1"/>
  <c r="AX194" i="1"/>
  <c r="J195" i="1"/>
  <c r="AQ195" i="1"/>
  <c r="Q196" i="1"/>
  <c r="BW196" i="1"/>
  <c r="AX197" i="1"/>
  <c r="Z198" i="1"/>
  <c r="CI198" i="1"/>
  <c r="BP199" i="1"/>
  <c r="Q200" i="1"/>
  <c r="CW201" i="1"/>
  <c r="AX202" i="1"/>
  <c r="BW202" i="1"/>
  <c r="X203" i="1"/>
  <c r="BY203" i="1"/>
  <c r="Z204" i="1"/>
  <c r="CI204" i="1"/>
  <c r="BP207" i="1"/>
  <c r="Q208" i="1"/>
  <c r="CW209" i="1"/>
  <c r="AX210" i="1"/>
  <c r="BW210" i="1"/>
  <c r="X211" i="1"/>
  <c r="BY211" i="1"/>
  <c r="Z212" i="1"/>
  <c r="CI212" i="1"/>
  <c r="BP215" i="1"/>
  <c r="Q216" i="1"/>
  <c r="AX217" i="1"/>
  <c r="CW222" i="1"/>
  <c r="AX231" i="1"/>
  <c r="AI235" i="1"/>
  <c r="AX236" i="1"/>
  <c r="X238" i="1"/>
  <c r="Z238" i="1"/>
  <c r="J261" i="1"/>
  <c r="BH264" i="1"/>
  <c r="BY264" i="1"/>
  <c r="BH218" i="1"/>
  <c r="BY218" i="1"/>
  <c r="CX266" i="1"/>
  <c r="CZ266" i="1" s="1"/>
  <c r="CI266" i="1"/>
  <c r="CP171" i="1"/>
  <c r="CX175" i="1"/>
  <c r="CZ175" i="1" s="1"/>
  <c r="BP178" i="1"/>
  <c r="BW179" i="1"/>
  <c r="BY181" i="1"/>
  <c r="BW182" i="1"/>
  <c r="CI183" i="1"/>
  <c r="AI184" i="1"/>
  <c r="BP184" i="1"/>
  <c r="BW185" i="1"/>
  <c r="CX186" i="1"/>
  <c r="CZ186" i="1" s="1"/>
  <c r="J187" i="1"/>
  <c r="X190" i="1"/>
  <c r="J191" i="1"/>
  <c r="X192" i="1"/>
  <c r="BY192" i="1"/>
  <c r="BW200" i="1"/>
  <c r="X201" i="1"/>
  <c r="BW208" i="1"/>
  <c r="X209" i="1"/>
  <c r="Y209" i="1" s="1"/>
  <c r="AA209" i="1" s="1"/>
  <c r="BY209" i="1"/>
  <c r="BW216" i="1"/>
  <c r="X217" i="1"/>
  <c r="CI217" i="1"/>
  <c r="AZ218" i="1"/>
  <c r="AZ223" i="1"/>
  <c r="AI223" i="1"/>
  <c r="CI231" i="1"/>
  <c r="X269" i="1"/>
  <c r="Z269" i="1"/>
  <c r="Q168" i="1"/>
  <c r="AI170" i="1"/>
  <c r="CI170" i="1"/>
  <c r="AI171" i="1"/>
  <c r="BY172" i="1"/>
  <c r="CP172" i="1"/>
  <c r="CI176" i="1"/>
  <c r="AI177" i="1"/>
  <c r="BP177" i="1"/>
  <c r="Q178" i="1"/>
  <c r="X179" i="1"/>
  <c r="CI179" i="1"/>
  <c r="Z180" i="1"/>
  <c r="AQ180" i="1"/>
  <c r="CW180" i="1"/>
  <c r="Q182" i="1"/>
  <c r="BY182" i="1"/>
  <c r="AI183" i="1"/>
  <c r="CP183" i="1"/>
  <c r="BW184" i="1"/>
  <c r="X185" i="1"/>
  <c r="AX185" i="1"/>
  <c r="AZ186" i="1"/>
  <c r="BH186" i="1"/>
  <c r="AQ187" i="1"/>
  <c r="Q191" i="1"/>
  <c r="CW191" i="1"/>
  <c r="CP192" i="1"/>
  <c r="Q193" i="1"/>
  <c r="AX193" i="1"/>
  <c r="CP194" i="1"/>
  <c r="X196" i="1"/>
  <c r="BH197" i="1"/>
  <c r="BP198" i="1"/>
  <c r="BW199" i="1"/>
  <c r="X200" i="1"/>
  <c r="CI201" i="1"/>
  <c r="AZ202" i="1"/>
  <c r="BP204" i="1"/>
  <c r="Q205" i="1"/>
  <c r="CW206" i="1"/>
  <c r="AX207" i="1"/>
  <c r="BW207" i="1"/>
  <c r="X208" i="1"/>
  <c r="CI209" i="1"/>
  <c r="AZ210" i="1"/>
  <c r="BP212" i="1"/>
  <c r="Q213" i="1"/>
  <c r="CW214" i="1"/>
  <c r="BW215" i="1"/>
  <c r="X216" i="1"/>
  <c r="CW220" i="1"/>
  <c r="BH224" i="1"/>
  <c r="BH233" i="1"/>
  <c r="BY233" i="1"/>
  <c r="CP233" i="1"/>
  <c r="CI234" i="1"/>
  <c r="J243" i="1"/>
  <c r="Z243" i="1"/>
  <c r="X249" i="1"/>
  <c r="Z249" i="1"/>
  <c r="BY266" i="1"/>
  <c r="CI270" i="1"/>
  <c r="CX270" i="1"/>
  <c r="CZ270" i="1" s="1"/>
  <c r="CW171" i="1"/>
  <c r="BW174" i="1"/>
  <c r="AZ175" i="1"/>
  <c r="CI175" i="1"/>
  <c r="J176" i="1"/>
  <c r="Z186" i="1"/>
  <c r="BY195" i="1"/>
  <c r="Z200" i="1"/>
  <c r="BY207" i="1"/>
  <c r="Z208" i="1"/>
  <c r="X215" i="1"/>
  <c r="BY215" i="1"/>
  <c r="Z216" i="1"/>
  <c r="Q235" i="1"/>
  <c r="Z235" i="1"/>
  <c r="CX247" i="1"/>
  <c r="CZ247" i="1" s="1"/>
  <c r="CI247" i="1"/>
  <c r="X168" i="1"/>
  <c r="AI172" i="1"/>
  <c r="Q174" i="1"/>
  <c r="AQ174" i="1"/>
  <c r="BP175" i="1"/>
  <c r="Q176" i="1"/>
  <c r="AQ177" i="1"/>
  <c r="CW177" i="1"/>
  <c r="AI179" i="1"/>
  <c r="BY179" i="1"/>
  <c r="CP179" i="1"/>
  <c r="Z181" i="1"/>
  <c r="BP181" i="1"/>
  <c r="X182" i="1"/>
  <c r="AQ183" i="1"/>
  <c r="CW183" i="1"/>
  <c r="AZ184" i="1"/>
  <c r="BH185" i="1"/>
  <c r="CP186" i="1"/>
  <c r="X187" i="1"/>
  <c r="AX187" i="1"/>
  <c r="BH188" i="1"/>
  <c r="CP188" i="1"/>
  <c r="BW189" i="1"/>
  <c r="J190" i="1"/>
  <c r="CW190" i="1"/>
  <c r="BW191" i="1"/>
  <c r="BP192" i="1"/>
  <c r="BH193" i="1"/>
  <c r="Z196" i="1"/>
  <c r="CW198" i="1"/>
  <c r="X199" i="1"/>
  <c r="CI199" i="1"/>
  <c r="BP202" i="1"/>
  <c r="Q203" i="1"/>
  <c r="CW204" i="1"/>
  <c r="AX205" i="1"/>
  <c r="BW205" i="1"/>
  <c r="X206" i="1"/>
  <c r="CI207" i="1"/>
  <c r="BP210" i="1"/>
  <c r="Q211" i="1"/>
  <c r="CW212" i="1"/>
  <c r="AX213" i="1"/>
  <c r="BW213" i="1"/>
  <c r="X214" i="1"/>
  <c r="CI215" i="1"/>
  <c r="BP217" i="1"/>
  <c r="Q218" i="1"/>
  <c r="BH226" i="1"/>
  <c r="BP233" i="1"/>
  <c r="AZ243" i="1"/>
  <c r="CI243" i="1"/>
  <c r="CX251" i="1"/>
  <c r="CZ251" i="1" s="1"/>
  <c r="CI251" i="1"/>
  <c r="BW272" i="1"/>
  <c r="CW170" i="1"/>
  <c r="CX174" i="1"/>
  <c r="CZ174" i="1" s="1"/>
  <c r="CW176" i="1"/>
  <c r="AZ177" i="1"/>
  <c r="CI180" i="1"/>
  <c r="AI182" i="1"/>
  <c r="CP182" i="1"/>
  <c r="Q183" i="1"/>
  <c r="CX184" i="1"/>
  <c r="CZ184" i="1" s="1"/>
  <c r="AQ186" i="1"/>
  <c r="Z188" i="1"/>
  <c r="AX189" i="1"/>
  <c r="AQ192" i="1"/>
  <c r="AQ196" i="1"/>
  <c r="Q197" i="1"/>
  <c r="CW197" i="1"/>
  <c r="AX198" i="1"/>
  <c r="BP201" i="1"/>
  <c r="Q202" i="1"/>
  <c r="CW203" i="1"/>
  <c r="AX204" i="1"/>
  <c r="CI206" i="1"/>
  <c r="AZ207" i="1"/>
  <c r="BP209" i="1"/>
  <c r="BX209" i="1" s="1"/>
  <c r="Q210" i="1"/>
  <c r="CW211" i="1"/>
  <c r="AX212" i="1"/>
  <c r="CI214" i="1"/>
  <c r="AZ215" i="1"/>
  <c r="AQ217" i="1"/>
  <c r="J219" i="1"/>
  <c r="Z219" i="1"/>
  <c r="AQ219" i="1"/>
  <c r="CI230" i="1"/>
  <c r="AI234" i="1"/>
  <c r="BW238" i="1"/>
  <c r="CX268" i="1"/>
  <c r="CZ268" i="1" s="1"/>
  <c r="CI268" i="1"/>
  <c r="BW219" i="1"/>
  <c r="CW219" i="1"/>
  <c r="X220" i="1"/>
  <c r="AX220" i="1"/>
  <c r="BY221" i="1"/>
  <c r="AQ222" i="1"/>
  <c r="BW222" i="1"/>
  <c r="BY223" i="1"/>
  <c r="AQ224" i="1"/>
  <c r="AQ228" i="1"/>
  <c r="CP231" i="1"/>
  <c r="BW232" i="1"/>
  <c r="BP235" i="1"/>
  <c r="CP235" i="1"/>
  <c r="CW237" i="1"/>
  <c r="X245" i="1"/>
  <c r="CX245" i="1"/>
  <c r="CZ245" i="1" s="1"/>
  <c r="BP247" i="1"/>
  <c r="CX249" i="1"/>
  <c r="CZ249" i="1" s="1"/>
  <c r="BP251" i="1"/>
  <c r="Q252" i="1"/>
  <c r="AQ253" i="1"/>
  <c r="X254" i="1"/>
  <c r="CI254" i="1"/>
  <c r="BP255" i="1"/>
  <c r="BW256" i="1"/>
  <c r="CW259" i="1"/>
  <c r="AQ264" i="1"/>
  <c r="CW264" i="1"/>
  <c r="X265" i="1"/>
  <c r="Z267" i="1"/>
  <c r="CZ267" i="1"/>
  <c r="CX272" i="1"/>
  <c r="CZ272" i="1" s="1"/>
  <c r="BY273" i="1"/>
  <c r="AQ274" i="1"/>
  <c r="BY275" i="1"/>
  <c r="BW276" i="1"/>
  <c r="AI280" i="1"/>
  <c r="BP280" i="1"/>
  <c r="CW280" i="1"/>
  <c r="AZ281" i="1"/>
  <c r="CI281" i="1"/>
  <c r="J283" i="1"/>
  <c r="AI283" i="1"/>
  <c r="BP283" i="1"/>
  <c r="BW284" i="1"/>
  <c r="AQ285" i="1"/>
  <c r="AI286" i="1"/>
  <c r="CW287" i="1"/>
  <c r="BY288" i="1"/>
  <c r="CW289" i="1"/>
  <c r="BY290" i="1"/>
  <c r="CP290" i="1"/>
  <c r="AQ292" i="1"/>
  <c r="BH330" i="1"/>
  <c r="CI345" i="1"/>
  <c r="AQ347" i="1"/>
  <c r="BY248" i="1"/>
  <c r="AZ261" i="1"/>
  <c r="Z262" i="1"/>
  <c r="Q337" i="1"/>
  <c r="Z337" i="1"/>
  <c r="BW218" i="1"/>
  <c r="X219" i="1"/>
  <c r="CX220" i="1"/>
  <c r="CZ220" i="1" s="1"/>
  <c r="CX222" i="1"/>
  <c r="CZ222" i="1" s="1"/>
  <c r="Z223" i="1"/>
  <c r="Q227" i="1"/>
  <c r="AX228" i="1"/>
  <c r="CX229" i="1"/>
  <c r="CZ229" i="1" s="1"/>
  <c r="AQ231" i="1"/>
  <c r="BP234" i="1"/>
  <c r="BW235" i="1"/>
  <c r="BH238" i="1"/>
  <c r="BF348" i="1"/>
  <c r="R17" i="5" s="1"/>
  <c r="CI245" i="1"/>
  <c r="AQ246" i="1"/>
  <c r="CI249" i="1"/>
  <c r="AQ250" i="1"/>
  <c r="BY252" i="1"/>
  <c r="AQ255" i="1"/>
  <c r="Z265" i="1"/>
  <c r="CI265" i="1"/>
  <c r="CI267" i="1"/>
  <c r="BP269" i="1"/>
  <c r="CI271" i="1"/>
  <c r="BH282" i="1"/>
  <c r="X284" i="1"/>
  <c r="AQ286" i="1"/>
  <c r="Q289" i="1"/>
  <c r="CI289" i="1"/>
  <c r="CI292" i="1"/>
  <c r="CX292" i="1"/>
  <c r="CZ292" i="1" s="1"/>
  <c r="BY295" i="1"/>
  <c r="J322" i="1"/>
  <c r="Z322" i="1"/>
  <c r="BW217" i="1"/>
  <c r="X218" i="1"/>
  <c r="CI219" i="1"/>
  <c r="X222" i="1"/>
  <c r="X224" i="1"/>
  <c r="AX227" i="1"/>
  <c r="CP230" i="1"/>
  <c r="Q231" i="1"/>
  <c r="BW231" i="1"/>
  <c r="AQ234" i="1"/>
  <c r="CW234" i="1"/>
  <c r="X235" i="1"/>
  <c r="BY236" i="1"/>
  <c r="J238" i="1"/>
  <c r="AZ244" i="1"/>
  <c r="CP245" i="1"/>
  <c r="Q246" i="1"/>
  <c r="BW246" i="1"/>
  <c r="X247" i="1"/>
  <c r="Y247" i="1" s="1"/>
  <c r="AZ247" i="1"/>
  <c r="CP249" i="1"/>
  <c r="Q250" i="1"/>
  <c r="BW250" i="1"/>
  <c r="X251" i="1"/>
  <c r="AZ251" i="1"/>
  <c r="CP252" i="1"/>
  <c r="X256" i="1"/>
  <c r="AQ257" i="1"/>
  <c r="CP258" i="1"/>
  <c r="Q259" i="1"/>
  <c r="BP260" i="1"/>
  <c r="CW260" i="1"/>
  <c r="X261" i="1"/>
  <c r="Q262" i="1"/>
  <c r="BW262" i="1"/>
  <c r="BX262" i="1" s="1"/>
  <c r="AI263" i="1"/>
  <c r="BP263" i="1"/>
  <c r="X264" i="1"/>
  <c r="BP266" i="1"/>
  <c r="BY271" i="1"/>
  <c r="Z272" i="1"/>
  <c r="CI274" i="1"/>
  <c r="Q277" i="1"/>
  <c r="AX277" i="1"/>
  <c r="AI278" i="1"/>
  <c r="BP278" i="1"/>
  <c r="BY279" i="1"/>
  <c r="AI284" i="1"/>
  <c r="Q286" i="1"/>
  <c r="CW294" i="1"/>
  <c r="J304" i="1"/>
  <c r="AI309" i="1"/>
  <c r="BY344" i="1"/>
  <c r="CP346" i="1"/>
  <c r="Z312" i="1"/>
  <c r="G351" i="1"/>
  <c r="Z236" i="1"/>
  <c r="BY243" i="1"/>
  <c r="BY246" i="1"/>
  <c r="Z247" i="1"/>
  <c r="BY250" i="1"/>
  <c r="Z251" i="1"/>
  <c r="AQ266" i="1"/>
  <c r="AQ268" i="1"/>
  <c r="AQ273" i="1"/>
  <c r="X285" i="1"/>
  <c r="X287" i="1"/>
  <c r="BW290" i="1"/>
  <c r="CW312" i="1"/>
  <c r="CX312" i="1"/>
  <c r="CZ312" i="1" s="1"/>
  <c r="BP219" i="1"/>
  <c r="Q220" i="1"/>
  <c r="AX221" i="1"/>
  <c r="Z222" i="1"/>
  <c r="AX223" i="1"/>
  <c r="CX223" i="1"/>
  <c r="CZ223" i="1" s="1"/>
  <c r="Z224" i="1"/>
  <c r="CP224" i="1"/>
  <c r="Q225" i="1"/>
  <c r="AX226" i="1"/>
  <c r="CP228" i="1"/>
  <c r="Q229" i="1"/>
  <c r="BW230" i="1"/>
  <c r="BW233" i="1"/>
  <c r="X234" i="1"/>
  <c r="CP236" i="1"/>
  <c r="BP237" i="1"/>
  <c r="AX239" i="1"/>
  <c r="AO348" i="1"/>
  <c r="L17" i="5" s="1"/>
  <c r="CX243" i="1"/>
  <c r="CZ243" i="1" s="1"/>
  <c r="CP244" i="1"/>
  <c r="Q245" i="1"/>
  <c r="AQ248" i="1"/>
  <c r="AQ252" i="1"/>
  <c r="CW252" i="1"/>
  <c r="AI253" i="1"/>
  <c r="BP253" i="1"/>
  <c r="Q254" i="1"/>
  <c r="AI256" i="1"/>
  <c r="AQ258" i="1"/>
  <c r="CW261" i="1"/>
  <c r="CP264" i="1"/>
  <c r="Q265" i="1"/>
  <c r="AZ266" i="1"/>
  <c r="AX268" i="1"/>
  <c r="AI274" i="1"/>
  <c r="BP274" i="1"/>
  <c r="X277" i="1"/>
  <c r="CP277" i="1"/>
  <c r="Q278" i="1"/>
  <c r="BW278" i="1"/>
  <c r="CW284" i="1"/>
  <c r="CI286" i="1"/>
  <c r="AI287" i="1"/>
  <c r="BP287" i="1"/>
  <c r="BW288" i="1"/>
  <c r="CI290" i="1"/>
  <c r="CP293" i="1"/>
  <c r="CP307" i="1"/>
  <c r="BH322" i="1"/>
  <c r="BW324" i="1"/>
  <c r="BY324" i="1"/>
  <c r="CX330" i="1"/>
  <c r="CZ330" i="1" s="1"/>
  <c r="BW334" i="1"/>
  <c r="X291" i="1"/>
  <c r="BW292" i="1"/>
  <c r="X293" i="1"/>
  <c r="Q294" i="1"/>
  <c r="AQ294" i="1"/>
  <c r="BH295" i="1"/>
  <c r="CX295" i="1"/>
  <c r="CZ295" i="1" s="1"/>
  <c r="J296" i="1"/>
  <c r="AI296" i="1"/>
  <c r="AQ297" i="1"/>
  <c r="CW297" i="1"/>
  <c r="CX298" i="1"/>
  <c r="CZ298" i="1" s="1"/>
  <c r="CX299" i="1"/>
  <c r="CZ299" i="1" s="1"/>
  <c r="CI300" i="1"/>
  <c r="BH301" i="1"/>
  <c r="BH303" i="1"/>
  <c r="BW305" i="1"/>
  <c r="BY306" i="1"/>
  <c r="X308" i="1"/>
  <c r="AI311" i="1"/>
  <c r="X313" i="1"/>
  <c r="BY313" i="1"/>
  <c r="CX313" i="1"/>
  <c r="CZ313" i="1" s="1"/>
  <c r="AI314" i="1"/>
  <c r="BP314" i="1"/>
  <c r="X315" i="1"/>
  <c r="BH315" i="1"/>
  <c r="BH317" i="1"/>
  <c r="AI320" i="1"/>
  <c r="X321" i="1"/>
  <c r="CI321" i="1"/>
  <c r="J323" i="1"/>
  <c r="AQ323" i="1"/>
  <c r="CP326" i="1"/>
  <c r="CZ327" i="1"/>
  <c r="J328" i="1"/>
  <c r="X329" i="1"/>
  <c r="BH329" i="1"/>
  <c r="J330" i="1"/>
  <c r="CI331" i="1"/>
  <c r="CP332" i="1"/>
  <c r="CI335" i="1"/>
  <c r="BP336" i="1"/>
  <c r="Q338" i="1"/>
  <c r="CI339" i="1"/>
  <c r="AQ341" i="1"/>
  <c r="BW341" i="1"/>
  <c r="X342" i="1"/>
  <c r="BP344" i="1"/>
  <c r="J346" i="1"/>
  <c r="AI346" i="1"/>
  <c r="BP346" i="1"/>
  <c r="Q347" i="1"/>
  <c r="BP347" i="1"/>
  <c r="CP347" i="1"/>
  <c r="BM351" i="1"/>
  <c r="CE351" i="1"/>
  <c r="AZ341" i="1"/>
  <c r="Z291" i="1"/>
  <c r="Z293" i="1"/>
  <c r="Z295" i="1"/>
  <c r="BP295" i="1"/>
  <c r="AQ296" i="1"/>
  <c r="BH299" i="1"/>
  <c r="X302" i="1"/>
  <c r="BY302" i="1"/>
  <c r="CI302" i="1"/>
  <c r="CW304" i="1"/>
  <c r="AZ323" i="1"/>
  <c r="CW326" i="1"/>
  <c r="X327" i="1"/>
  <c r="BY327" i="1"/>
  <c r="CI327" i="1"/>
  <c r="Q328" i="1"/>
  <c r="BW328" i="1"/>
  <c r="AI329" i="1"/>
  <c r="BP329" i="1"/>
  <c r="Q330" i="1"/>
  <c r="AQ330" i="1"/>
  <c r="CW330" i="1"/>
  <c r="X331" i="1"/>
  <c r="Q332" i="1"/>
  <c r="Z334" i="1"/>
  <c r="CP335" i="1"/>
  <c r="AQ336" i="1"/>
  <c r="CW336" i="1"/>
  <c r="CP339" i="1"/>
  <c r="CW340" i="1"/>
  <c r="BY341" i="1"/>
  <c r="Z342" i="1"/>
  <c r="AZ344" i="1"/>
  <c r="CW344" i="1"/>
  <c r="X345" i="1"/>
  <c r="CP345" i="1"/>
  <c r="AQ346" i="1"/>
  <c r="AQ291" i="1"/>
  <c r="BY292" i="1"/>
  <c r="CP292" i="1"/>
  <c r="AQ293" i="1"/>
  <c r="AQ295" i="1"/>
  <c r="CP295" i="1"/>
  <c r="Q296" i="1"/>
  <c r="AI298" i="1"/>
  <c r="BP299" i="1"/>
  <c r="J300" i="1"/>
  <c r="AQ301" i="1"/>
  <c r="AI302" i="1"/>
  <c r="CP302" i="1"/>
  <c r="AQ303" i="1"/>
  <c r="CI309" i="1"/>
  <c r="BY312" i="1"/>
  <c r="CP313" i="1"/>
  <c r="Q320" i="1"/>
  <c r="BP321" i="1"/>
  <c r="BP322" i="1"/>
  <c r="CW322" i="1"/>
  <c r="X323" i="1"/>
  <c r="BP325" i="1"/>
  <c r="CP327" i="1"/>
  <c r="BW330" i="1"/>
  <c r="CX333" i="1"/>
  <c r="CZ333" i="1" s="1"/>
  <c r="AI334" i="1"/>
  <c r="BH334" i="1"/>
  <c r="AZ337" i="1"/>
  <c r="BW337" i="1"/>
  <c r="CI338" i="1"/>
  <c r="Q339" i="1"/>
  <c r="CX341" i="1"/>
  <c r="CZ341" i="1" s="1"/>
  <c r="AI342" i="1"/>
  <c r="BP343" i="1"/>
  <c r="X344" i="1"/>
  <c r="AZ345" i="1"/>
  <c r="BW345" i="1"/>
  <c r="BX345" i="1" s="1"/>
  <c r="AZ346" i="1"/>
  <c r="CX346" i="1"/>
  <c r="CZ346" i="1" s="1"/>
  <c r="CX296" i="1"/>
  <c r="CZ296" i="1" s="1"/>
  <c r="AZ297" i="1"/>
  <c r="Z300" i="1"/>
  <c r="Z324" i="1"/>
  <c r="AZ326" i="1"/>
  <c r="CX328" i="1"/>
  <c r="AZ336" i="1"/>
  <c r="CX344" i="1"/>
  <c r="CZ344" i="1" s="1"/>
  <c r="R352" i="1"/>
  <c r="F4" i="5" s="1"/>
  <c r="I3" i="2"/>
  <c r="AI294" i="1"/>
  <c r="Q295" i="1"/>
  <c r="J297" i="1"/>
  <c r="CP298" i="1"/>
  <c r="AQ299" i="1"/>
  <c r="BW299" i="1"/>
  <c r="CI301" i="1"/>
  <c r="CW302" i="1"/>
  <c r="BY304" i="1"/>
  <c r="AI305" i="1"/>
  <c r="BP305" i="1"/>
  <c r="J308" i="1"/>
  <c r="Q310" i="1"/>
  <c r="X311" i="1"/>
  <c r="CP312" i="1"/>
  <c r="CW315" i="1"/>
  <c r="CP316" i="1"/>
  <c r="BW317" i="1"/>
  <c r="BP318" i="1"/>
  <c r="BH319" i="1"/>
  <c r="BP324" i="1"/>
  <c r="AQ325" i="1"/>
  <c r="BW325" i="1"/>
  <c r="CW327" i="1"/>
  <c r="X328" i="1"/>
  <c r="CI328" i="1"/>
  <c r="CW329" i="1"/>
  <c r="CI333" i="1"/>
  <c r="AQ334" i="1"/>
  <c r="AQ335" i="1"/>
  <c r="CX336" i="1"/>
  <c r="CZ336" i="1" s="1"/>
  <c r="CI337" i="1"/>
  <c r="BP338" i="1"/>
  <c r="CP338" i="1"/>
  <c r="X340" i="1"/>
  <c r="J341" i="1"/>
  <c r="CP341" i="1"/>
  <c r="AQ342" i="1"/>
  <c r="CP342" i="1"/>
  <c r="AZ343" i="1"/>
  <c r="CI346" i="1"/>
  <c r="R351" i="1"/>
  <c r="CI291" i="1"/>
  <c r="CI293" i="1"/>
  <c r="CI296" i="1"/>
  <c r="Q298" i="1"/>
  <c r="CW298" i="1"/>
  <c r="X300" i="1"/>
  <c r="X303" i="1"/>
  <c r="CI303" i="1"/>
  <c r="AI304" i="1"/>
  <c r="AQ305" i="1"/>
  <c r="Q308" i="1"/>
  <c r="BW308" i="1"/>
  <c r="CP314" i="1"/>
  <c r="AI319" i="1"/>
  <c r="BP319" i="1"/>
  <c r="CP320" i="1"/>
  <c r="Q321" i="1"/>
  <c r="CX322" i="1"/>
  <c r="CZ322" i="1" s="1"/>
  <c r="AI323" i="1"/>
  <c r="BP323" i="1"/>
  <c r="AQ324" i="1"/>
  <c r="CI326" i="1"/>
  <c r="AQ327" i="1"/>
  <c r="CP328" i="1"/>
  <c r="AQ331" i="1"/>
  <c r="Q333" i="1"/>
  <c r="CP333" i="1"/>
  <c r="Q334" i="1"/>
  <c r="AZ335" i="1"/>
  <c r="BH336" i="1"/>
  <c r="AQ338" i="1"/>
  <c r="CW338" i="1"/>
  <c r="BW339" i="1"/>
  <c r="CW342" i="1"/>
  <c r="X343" i="1"/>
  <c r="K3" i="2"/>
  <c r="CZ18" i="1"/>
  <c r="CX15" i="1"/>
  <c r="CX17" i="1"/>
  <c r="CZ17" i="1" s="1"/>
  <c r="AG20" i="1"/>
  <c r="J8" i="5" s="1"/>
  <c r="BY41" i="1"/>
  <c r="BH41" i="1"/>
  <c r="Z29" i="1"/>
  <c r="J29" i="1"/>
  <c r="AZ49" i="1"/>
  <c r="AI49" i="1"/>
  <c r="BY39" i="1"/>
  <c r="BH39" i="1"/>
  <c r="J76" i="1"/>
  <c r="Z76" i="1"/>
  <c r="CG35" i="1"/>
  <c r="Z10" i="5" s="1"/>
  <c r="CI22" i="1"/>
  <c r="CX22" i="1"/>
  <c r="CZ22" i="1" s="1"/>
  <c r="Z8" i="1"/>
  <c r="AO13" i="1"/>
  <c r="X15" i="1"/>
  <c r="CI15" i="1"/>
  <c r="AI17" i="1"/>
  <c r="AI18" i="1"/>
  <c r="AY18" i="1" s="1"/>
  <c r="BA18" i="1" s="1"/>
  <c r="CI18" i="1"/>
  <c r="AI19" i="1"/>
  <c r="CI19" i="1"/>
  <c r="AQ22" i="1"/>
  <c r="BP22" i="1"/>
  <c r="CX23" i="1"/>
  <c r="CZ23" i="1" s="1"/>
  <c r="BH24" i="1"/>
  <c r="CX24" i="1"/>
  <c r="CZ24" i="1" s="1"/>
  <c r="Q27" i="1"/>
  <c r="Z33" i="1"/>
  <c r="J33" i="1"/>
  <c r="AQ28" i="1"/>
  <c r="BY42" i="1"/>
  <c r="BH42" i="1"/>
  <c r="Z44" i="1"/>
  <c r="J44" i="1"/>
  <c r="CI48" i="1"/>
  <c r="CX48" i="1"/>
  <c r="CZ48" i="1" s="1"/>
  <c r="AZ89" i="1"/>
  <c r="CP107" i="1"/>
  <c r="CX107" i="1"/>
  <c r="CZ107" i="1" s="1"/>
  <c r="BY33" i="1"/>
  <c r="BH33" i="1"/>
  <c r="Z16" i="1"/>
  <c r="CW5" i="1"/>
  <c r="BP5" i="1"/>
  <c r="CX5" i="1"/>
  <c r="BH7" i="1"/>
  <c r="BW8" i="1"/>
  <c r="X9" i="1"/>
  <c r="CX9" i="1"/>
  <c r="CZ9" i="1" s="1"/>
  <c r="CX10" i="1"/>
  <c r="CZ10" i="1" s="1"/>
  <c r="CX11" i="1"/>
  <c r="CZ11" i="1" s="1"/>
  <c r="CX12" i="1"/>
  <c r="CZ12" i="1" s="1"/>
  <c r="CG13" i="1"/>
  <c r="Z6" i="5" s="1"/>
  <c r="Z15" i="1"/>
  <c r="X22" i="1"/>
  <c r="BU35" i="1"/>
  <c r="V10" i="5" s="1"/>
  <c r="CN35" i="1"/>
  <c r="AB10" i="5" s="1"/>
  <c r="AZ25" i="1"/>
  <c r="CX16" i="1"/>
  <c r="CZ16" i="1" s="1"/>
  <c r="BY32" i="1"/>
  <c r="BH32" i="1"/>
  <c r="BW37" i="1"/>
  <c r="X38" i="1"/>
  <c r="CI38" i="1"/>
  <c r="CX38" i="1"/>
  <c r="CZ38" i="1" s="1"/>
  <c r="CP41" i="1"/>
  <c r="BY43" i="1"/>
  <c r="BH43" i="1"/>
  <c r="Z46" i="1"/>
  <c r="J46" i="1"/>
  <c r="Z28" i="1"/>
  <c r="J28" i="1"/>
  <c r="CI46" i="1"/>
  <c r="CX46" i="1"/>
  <c r="CZ46" i="1" s="1"/>
  <c r="AX5" i="1"/>
  <c r="AX10" i="1"/>
  <c r="AI11" i="1"/>
  <c r="AI12" i="1"/>
  <c r="J15" i="1"/>
  <c r="BW15" i="1"/>
  <c r="X17" i="1"/>
  <c r="BW17" i="1"/>
  <c r="X18" i="1"/>
  <c r="BW18" i="1"/>
  <c r="X19" i="1"/>
  <c r="BW19" i="1"/>
  <c r="Z22" i="1"/>
  <c r="CI24" i="1"/>
  <c r="Q16" i="1"/>
  <c r="Z173" i="1"/>
  <c r="BW173" i="1"/>
  <c r="AQ33" i="1"/>
  <c r="CI40" i="1"/>
  <c r="CX40" i="1"/>
  <c r="CZ40" i="1" s="1"/>
  <c r="BY45" i="1"/>
  <c r="BH45" i="1"/>
  <c r="AZ48" i="1"/>
  <c r="AI48" i="1"/>
  <c r="CI50" i="1"/>
  <c r="CX50" i="1"/>
  <c r="CZ50" i="1" s="1"/>
  <c r="BY25" i="1"/>
  <c r="AZ173" i="1"/>
  <c r="BY27" i="1"/>
  <c r="BY34" i="1"/>
  <c r="BH34" i="1"/>
  <c r="BF35" i="1"/>
  <c r="R10" i="5" s="1"/>
  <c r="CI28" i="1"/>
  <c r="CX28" i="1"/>
  <c r="CZ28" i="1" s="1"/>
  <c r="CI47" i="1"/>
  <c r="CX47" i="1"/>
  <c r="CZ47" i="1" s="1"/>
  <c r="J92" i="1"/>
  <c r="Z92" i="1"/>
  <c r="CN137" i="1"/>
  <c r="AB12" i="5" s="1"/>
  <c r="CX37" i="1"/>
  <c r="CZ37" i="1" s="1"/>
  <c r="CP37" i="1"/>
  <c r="Z5" i="1"/>
  <c r="CX7" i="1"/>
  <c r="CZ7" i="1" s="1"/>
  <c r="O20" i="1"/>
  <c r="D8" i="5" s="1"/>
  <c r="O35" i="1"/>
  <c r="D10" i="5" s="1"/>
  <c r="CU35" i="1"/>
  <c r="AD10" i="5" s="1"/>
  <c r="CX27" i="1"/>
  <c r="CZ27" i="1" s="1"/>
  <c r="CI29" i="1"/>
  <c r="CX29" i="1"/>
  <c r="CZ29" i="1" s="1"/>
  <c r="AZ50" i="1"/>
  <c r="AI50" i="1"/>
  <c r="CI97" i="1"/>
  <c r="CX97" i="1"/>
  <c r="CZ97" i="1" s="1"/>
  <c r="CN13" i="1"/>
  <c r="AB6" i="5" s="1"/>
  <c r="AZ7" i="1"/>
  <c r="BH22" i="1"/>
  <c r="J24" i="1"/>
  <c r="Q25" i="1"/>
  <c r="CX25" i="1"/>
  <c r="CZ25" i="1" s="1"/>
  <c r="BW16" i="1"/>
  <c r="BY173" i="1"/>
  <c r="Z34" i="1"/>
  <c r="J34" i="1"/>
  <c r="CP34" i="1"/>
  <c r="BP38" i="1"/>
  <c r="Z40" i="1"/>
  <c r="J40" i="1"/>
  <c r="Q41" i="1"/>
  <c r="CI44" i="1"/>
  <c r="CX44" i="1"/>
  <c r="CZ44" i="1" s="1"/>
  <c r="AZ47" i="1"/>
  <c r="AI47" i="1"/>
  <c r="CI49" i="1"/>
  <c r="CX49" i="1"/>
  <c r="CZ49" i="1" s="1"/>
  <c r="AI32" i="1"/>
  <c r="O137" i="1"/>
  <c r="D12" i="5" s="1"/>
  <c r="BF137" i="1"/>
  <c r="R12" i="5" s="1"/>
  <c r="BY54" i="1"/>
  <c r="BH54" i="1"/>
  <c r="BX54" i="1" s="1"/>
  <c r="X55" i="1"/>
  <c r="BW57" i="1"/>
  <c r="X58" i="1"/>
  <c r="BW58" i="1"/>
  <c r="X59" i="1"/>
  <c r="BW59" i="1"/>
  <c r="X60" i="1"/>
  <c r="BW60" i="1"/>
  <c r="X61" i="1"/>
  <c r="BW61" i="1"/>
  <c r="X62" i="1"/>
  <c r="BW62" i="1"/>
  <c r="X63" i="1"/>
  <c r="BW63" i="1"/>
  <c r="X64" i="1"/>
  <c r="BW64" i="1"/>
  <c r="X65" i="1"/>
  <c r="BW65" i="1"/>
  <c r="X66" i="1"/>
  <c r="BW66" i="1"/>
  <c r="X67" i="1"/>
  <c r="BW67" i="1"/>
  <c r="AZ71" i="1"/>
  <c r="CX71" i="1"/>
  <c r="CZ71" i="1" s="1"/>
  <c r="J74" i="1"/>
  <c r="Z74" i="1"/>
  <c r="AZ76" i="1"/>
  <c r="Q79" i="1"/>
  <c r="AZ87" i="1"/>
  <c r="CX87" i="1"/>
  <c r="CZ87" i="1" s="1"/>
  <c r="Z89" i="1"/>
  <c r="J90" i="1"/>
  <c r="Y90" i="1" s="1"/>
  <c r="Z90" i="1"/>
  <c r="AZ92" i="1"/>
  <c r="Z95" i="1"/>
  <c r="Q95" i="1"/>
  <c r="BY102" i="1"/>
  <c r="BP102" i="1"/>
  <c r="AQ106" i="1"/>
  <c r="AZ106" i="1"/>
  <c r="CP111" i="1"/>
  <c r="CX111" i="1"/>
  <c r="CZ111" i="1" s="1"/>
  <c r="AZ31" i="1"/>
  <c r="AG137" i="1"/>
  <c r="J12" i="5" s="1"/>
  <c r="BY51" i="1"/>
  <c r="BH51" i="1"/>
  <c r="BY52" i="1"/>
  <c r="BH52" i="1"/>
  <c r="BY53" i="1"/>
  <c r="BH53" i="1"/>
  <c r="AZ59" i="1"/>
  <c r="AZ60" i="1"/>
  <c r="AZ61" i="1"/>
  <c r="AZ62" i="1"/>
  <c r="AZ63" i="1"/>
  <c r="AZ64" i="1"/>
  <c r="AZ65" i="1"/>
  <c r="AZ66" i="1"/>
  <c r="AZ67" i="1"/>
  <c r="AZ69" i="1"/>
  <c r="CX69" i="1"/>
  <c r="CZ69" i="1" s="1"/>
  <c r="J72" i="1"/>
  <c r="Z72" i="1"/>
  <c r="Q77" i="1"/>
  <c r="AI85" i="1"/>
  <c r="AZ85" i="1"/>
  <c r="CX85" i="1"/>
  <c r="CZ85" i="1" s="1"/>
  <c r="Z87" i="1"/>
  <c r="J88" i="1"/>
  <c r="Z88" i="1"/>
  <c r="AZ90" i="1"/>
  <c r="Q93" i="1"/>
  <c r="AX103" i="1"/>
  <c r="AZ103" i="1"/>
  <c r="AQ110" i="1"/>
  <c r="AZ110" i="1"/>
  <c r="CP115" i="1"/>
  <c r="CX115" i="1"/>
  <c r="CZ115" i="1" s="1"/>
  <c r="BY147" i="1"/>
  <c r="BW147" i="1"/>
  <c r="CX30" i="1"/>
  <c r="CU137" i="1"/>
  <c r="AD12" i="5" s="1"/>
  <c r="CX51" i="1"/>
  <c r="CZ51" i="1" s="1"/>
  <c r="CX52" i="1"/>
  <c r="CZ52" i="1" s="1"/>
  <c r="CX53" i="1"/>
  <c r="CZ53" i="1" s="1"/>
  <c r="BW55" i="1"/>
  <c r="Z57" i="1"/>
  <c r="CX67" i="1"/>
  <c r="CZ67" i="1" s="1"/>
  <c r="Z69" i="1"/>
  <c r="J70" i="1"/>
  <c r="Z70" i="1"/>
  <c r="AZ83" i="1"/>
  <c r="CX83" i="1"/>
  <c r="CZ83" i="1" s="1"/>
  <c r="Z85" i="1"/>
  <c r="J86" i="1"/>
  <c r="Z86" i="1"/>
  <c r="BY96" i="1"/>
  <c r="BP96" i="1"/>
  <c r="Z99" i="1"/>
  <c r="Q99" i="1"/>
  <c r="BY101" i="1"/>
  <c r="BP101" i="1"/>
  <c r="BW104" i="1"/>
  <c r="BY104" i="1"/>
  <c r="AX107" i="1"/>
  <c r="AZ107" i="1"/>
  <c r="AQ114" i="1"/>
  <c r="AZ114" i="1"/>
  <c r="J30" i="1"/>
  <c r="AX33" i="1"/>
  <c r="AX34" i="1"/>
  <c r="V137" i="1"/>
  <c r="F12" i="5" s="1"/>
  <c r="AI37" i="1"/>
  <c r="BN137" i="1"/>
  <c r="T12" i="5" s="1"/>
  <c r="BW38" i="1"/>
  <c r="X39" i="1"/>
  <c r="Y39" i="1" s="1"/>
  <c r="BW40" i="1"/>
  <c r="X41" i="1"/>
  <c r="BW28" i="1"/>
  <c r="X42" i="1"/>
  <c r="BW29" i="1"/>
  <c r="X43" i="1"/>
  <c r="BW44" i="1"/>
  <c r="X45" i="1"/>
  <c r="BW46" i="1"/>
  <c r="X47" i="1"/>
  <c r="BW47" i="1"/>
  <c r="X48" i="1"/>
  <c r="BW48" i="1"/>
  <c r="X49" i="1"/>
  <c r="BW49" i="1"/>
  <c r="X50" i="1"/>
  <c r="BW50" i="1"/>
  <c r="Z51" i="1"/>
  <c r="Z55" i="1"/>
  <c r="BY57" i="1"/>
  <c r="Z58" i="1"/>
  <c r="BY58" i="1"/>
  <c r="Z59" i="1"/>
  <c r="BY59" i="1"/>
  <c r="Z60" i="1"/>
  <c r="BY60" i="1"/>
  <c r="Z61" i="1"/>
  <c r="BY61" i="1"/>
  <c r="Z62" i="1"/>
  <c r="BY62" i="1"/>
  <c r="Z63" i="1"/>
  <c r="BY63" i="1"/>
  <c r="Z64" i="1"/>
  <c r="BY64" i="1"/>
  <c r="Z65" i="1"/>
  <c r="BY65" i="1"/>
  <c r="Z66" i="1"/>
  <c r="BY66" i="1"/>
  <c r="Z67" i="1"/>
  <c r="BY67" i="1"/>
  <c r="J68" i="1"/>
  <c r="Z68" i="1"/>
  <c r="AZ70" i="1"/>
  <c r="Q73" i="1"/>
  <c r="AZ81" i="1"/>
  <c r="CX81" i="1"/>
  <c r="CZ81" i="1" s="1"/>
  <c r="Z83" i="1"/>
  <c r="J84" i="1"/>
  <c r="Z84" i="1"/>
  <c r="AZ86" i="1"/>
  <c r="BW95" i="1"/>
  <c r="BY95" i="1"/>
  <c r="AQ98" i="1"/>
  <c r="AZ98" i="1"/>
  <c r="AX102" i="1"/>
  <c r="AZ102" i="1"/>
  <c r="BW108" i="1"/>
  <c r="BY108" i="1"/>
  <c r="AX111" i="1"/>
  <c r="AZ111" i="1"/>
  <c r="CW116" i="1"/>
  <c r="CX116" i="1"/>
  <c r="CZ116" i="1" s="1"/>
  <c r="J146" i="1"/>
  <c r="Z146" i="1"/>
  <c r="CW161" i="1"/>
  <c r="AZ22" i="1"/>
  <c r="BH31" i="1"/>
  <c r="J32" i="1"/>
  <c r="AX32" i="1"/>
  <c r="AO137" i="1"/>
  <c r="L12" i="5" s="1"/>
  <c r="CG137" i="1"/>
  <c r="Z12" i="5" s="1"/>
  <c r="CW37" i="1"/>
  <c r="CX55" i="1"/>
  <c r="CZ55" i="1" s="1"/>
  <c r="X56" i="1"/>
  <c r="AZ68" i="1"/>
  <c r="Q71" i="1"/>
  <c r="AI79" i="1"/>
  <c r="AZ79" i="1"/>
  <c r="CX79" i="1"/>
  <c r="CZ79" i="1" s="1"/>
  <c r="Z81" i="1"/>
  <c r="J82" i="1"/>
  <c r="Z82" i="1"/>
  <c r="AZ84" i="1"/>
  <c r="Q87" i="1"/>
  <c r="AI95" i="1"/>
  <c r="AZ95" i="1"/>
  <c r="CW98" i="1"/>
  <c r="BY100" i="1"/>
  <c r="BP100" i="1"/>
  <c r="X107" i="1"/>
  <c r="Z107" i="1"/>
  <c r="BW112" i="1"/>
  <c r="BY112" i="1"/>
  <c r="AX115" i="1"/>
  <c r="AZ115" i="1"/>
  <c r="BY118" i="1"/>
  <c r="BW118" i="1"/>
  <c r="H137" i="1"/>
  <c r="B12" i="5" s="1"/>
  <c r="AZ39" i="1"/>
  <c r="AZ41" i="1"/>
  <c r="AZ42" i="1"/>
  <c r="AZ43" i="1"/>
  <c r="AZ45" i="1"/>
  <c r="Z52" i="1"/>
  <c r="J52" i="1"/>
  <c r="Z53" i="1"/>
  <c r="J53" i="1"/>
  <c r="Z54" i="1"/>
  <c r="J54" i="1"/>
  <c r="BY55" i="1"/>
  <c r="CX57" i="1"/>
  <c r="CZ57" i="1" s="1"/>
  <c r="CP57" i="1"/>
  <c r="CX58" i="1"/>
  <c r="CZ58" i="1" s="1"/>
  <c r="CP58" i="1"/>
  <c r="CX59" i="1"/>
  <c r="CZ59" i="1" s="1"/>
  <c r="CP59" i="1"/>
  <c r="CX60" i="1"/>
  <c r="CZ60" i="1" s="1"/>
  <c r="CP60" i="1"/>
  <c r="CX61" i="1"/>
  <c r="CZ61" i="1" s="1"/>
  <c r="CP61" i="1"/>
  <c r="CX62" i="1"/>
  <c r="CZ62" i="1" s="1"/>
  <c r="CP62" i="1"/>
  <c r="CX63" i="1"/>
  <c r="CZ63" i="1" s="1"/>
  <c r="CP63" i="1"/>
  <c r="CX64" i="1"/>
  <c r="CZ64" i="1" s="1"/>
  <c r="CP64" i="1"/>
  <c r="CX65" i="1"/>
  <c r="CZ65" i="1" s="1"/>
  <c r="CP65" i="1"/>
  <c r="CX66" i="1"/>
  <c r="CZ66" i="1" s="1"/>
  <c r="CP66" i="1"/>
  <c r="AZ77" i="1"/>
  <c r="J80" i="1"/>
  <c r="Z80" i="1"/>
  <c r="AZ82" i="1"/>
  <c r="AZ93" i="1"/>
  <c r="X97" i="1"/>
  <c r="Z97" i="1"/>
  <c r="BW99" i="1"/>
  <c r="BX99" i="1" s="1"/>
  <c r="BY99" i="1"/>
  <c r="AX101" i="1"/>
  <c r="AZ101" i="1"/>
  <c r="X111" i="1"/>
  <c r="Z111" i="1"/>
  <c r="BW116" i="1"/>
  <c r="BX116" i="1" s="1"/>
  <c r="BY116" i="1"/>
  <c r="Z119" i="1"/>
  <c r="X119" i="1"/>
  <c r="BY122" i="1"/>
  <c r="BW122" i="1"/>
  <c r="J149" i="1"/>
  <c r="Z149" i="1"/>
  <c r="BU137" i="1"/>
  <c r="V12" i="5" s="1"/>
  <c r="AZ54" i="1"/>
  <c r="BW56" i="1"/>
  <c r="AI75" i="1"/>
  <c r="AZ75" i="1"/>
  <c r="J78" i="1"/>
  <c r="Z78" i="1"/>
  <c r="Q83" i="1"/>
  <c r="AI91" i="1"/>
  <c r="AZ91" i="1"/>
  <c r="J94" i="1"/>
  <c r="Z94" i="1"/>
  <c r="AI99" i="1"/>
  <c r="AZ99" i="1"/>
  <c r="CP103" i="1"/>
  <c r="CX103" i="1"/>
  <c r="CZ103" i="1" s="1"/>
  <c r="X115" i="1"/>
  <c r="Z115" i="1"/>
  <c r="Z123" i="1"/>
  <c r="X123" i="1"/>
  <c r="CX68" i="1"/>
  <c r="CZ68" i="1" s="1"/>
  <c r="CX70" i="1"/>
  <c r="CZ70" i="1" s="1"/>
  <c r="CX72" i="1"/>
  <c r="CZ72" i="1" s="1"/>
  <c r="CX78" i="1"/>
  <c r="CZ78" i="1" s="1"/>
  <c r="CX82" i="1"/>
  <c r="CZ82" i="1" s="1"/>
  <c r="CX84" i="1"/>
  <c r="CZ84" i="1" s="1"/>
  <c r="CX86" i="1"/>
  <c r="CZ86" i="1" s="1"/>
  <c r="CX88" i="1"/>
  <c r="CZ88" i="1" s="1"/>
  <c r="CX90" i="1"/>
  <c r="CZ90" i="1" s="1"/>
  <c r="CX92" i="1"/>
  <c r="CZ92" i="1" s="1"/>
  <c r="CX94" i="1"/>
  <c r="CZ94" i="1" s="1"/>
  <c r="X98" i="1"/>
  <c r="BY119" i="1"/>
  <c r="BW119" i="1"/>
  <c r="BY123" i="1"/>
  <c r="BW123" i="1"/>
  <c r="Z130" i="1"/>
  <c r="Z134" i="1"/>
  <c r="CU240" i="1"/>
  <c r="AD14" i="5" s="1"/>
  <c r="CW139" i="1"/>
  <c r="BH144" i="1"/>
  <c r="BY144" i="1"/>
  <c r="CP151" i="1"/>
  <c r="CX151" i="1"/>
  <c r="CZ151" i="1" s="1"/>
  <c r="BW96" i="1"/>
  <c r="CX98" i="1"/>
  <c r="CZ98" i="1" s="1"/>
  <c r="BW100" i="1"/>
  <c r="BW101" i="1"/>
  <c r="BW102" i="1"/>
  <c r="CX104" i="1"/>
  <c r="CZ104" i="1" s="1"/>
  <c r="CX108" i="1"/>
  <c r="CZ108" i="1" s="1"/>
  <c r="CX112" i="1"/>
  <c r="CZ112" i="1" s="1"/>
  <c r="Z120" i="1"/>
  <c r="X120" i="1"/>
  <c r="Z124" i="1"/>
  <c r="X124" i="1"/>
  <c r="BY126" i="1"/>
  <c r="CZ126" i="1"/>
  <c r="BY130" i="1"/>
  <c r="BY134" i="1"/>
  <c r="V240" i="1"/>
  <c r="F14" i="5" s="1"/>
  <c r="X139" i="1"/>
  <c r="CZ142" i="1"/>
  <c r="CP145" i="1"/>
  <c r="CX147" i="1"/>
  <c r="CZ147" i="1" s="1"/>
  <c r="X150" i="1"/>
  <c r="CW163" i="1"/>
  <c r="J55" i="1"/>
  <c r="BH55" i="1"/>
  <c r="J56" i="1"/>
  <c r="BH56" i="1"/>
  <c r="J57" i="1"/>
  <c r="BH57" i="1"/>
  <c r="J58" i="1"/>
  <c r="BH58" i="1"/>
  <c r="J59" i="1"/>
  <c r="BH59" i="1"/>
  <c r="J60" i="1"/>
  <c r="BH60" i="1"/>
  <c r="J61" i="1"/>
  <c r="BH61" i="1"/>
  <c r="J62" i="1"/>
  <c r="BH62" i="1"/>
  <c r="J63" i="1"/>
  <c r="BH63" i="1"/>
  <c r="J64" i="1"/>
  <c r="BH64" i="1"/>
  <c r="J65" i="1"/>
  <c r="BH65" i="1"/>
  <c r="J66" i="1"/>
  <c r="BH66" i="1"/>
  <c r="J67" i="1"/>
  <c r="BH67" i="1"/>
  <c r="BY69" i="1"/>
  <c r="BY71" i="1"/>
  <c r="BY73" i="1"/>
  <c r="BY75" i="1"/>
  <c r="BY77" i="1"/>
  <c r="BY79" i="1"/>
  <c r="BY81" i="1"/>
  <c r="BY83" i="1"/>
  <c r="BY85" i="1"/>
  <c r="BY87" i="1"/>
  <c r="BY89" i="1"/>
  <c r="BY91" i="1"/>
  <c r="BY93" i="1"/>
  <c r="Z106" i="1"/>
  <c r="Z110" i="1"/>
  <c r="Z114" i="1"/>
  <c r="BY120" i="1"/>
  <c r="BW120" i="1"/>
  <c r="BY124" i="1"/>
  <c r="BW124" i="1"/>
  <c r="Z127" i="1"/>
  <c r="Z131" i="1"/>
  <c r="Z135" i="1"/>
  <c r="BY142" i="1"/>
  <c r="Z143" i="1"/>
  <c r="Z147" i="1"/>
  <c r="J148" i="1"/>
  <c r="Z148" i="1"/>
  <c r="CI152" i="1"/>
  <c r="CX152" i="1"/>
  <c r="CZ152" i="1" s="1"/>
  <c r="AZ94" i="1"/>
  <c r="CP94" i="1"/>
  <c r="AZ97" i="1"/>
  <c r="BW97" i="1"/>
  <c r="BY103" i="1"/>
  <c r="BY107" i="1"/>
  <c r="BY111" i="1"/>
  <c r="BY115" i="1"/>
  <c r="Z117" i="1"/>
  <c r="Z121" i="1"/>
  <c r="X121" i="1"/>
  <c r="Z125" i="1"/>
  <c r="X125" i="1"/>
  <c r="BY127" i="1"/>
  <c r="BY131" i="1"/>
  <c r="BY135" i="1"/>
  <c r="BY140" i="1"/>
  <c r="Z141" i="1"/>
  <c r="AX146" i="1"/>
  <c r="BW148" i="1"/>
  <c r="CX185" i="1"/>
  <c r="CZ185" i="1" s="1"/>
  <c r="CI185" i="1"/>
  <c r="X96" i="1"/>
  <c r="X100" i="1"/>
  <c r="CX100" i="1"/>
  <c r="CZ100" i="1" s="1"/>
  <c r="CX101" i="1"/>
  <c r="CZ101" i="1" s="1"/>
  <c r="CX102" i="1"/>
  <c r="CZ102" i="1" s="1"/>
  <c r="X104" i="1"/>
  <c r="Y104" i="1" s="1"/>
  <c r="Z105" i="1"/>
  <c r="X108" i="1"/>
  <c r="Z109" i="1"/>
  <c r="X112" i="1"/>
  <c r="Z113" i="1"/>
  <c r="X116" i="1"/>
  <c r="AZ117" i="1"/>
  <c r="BY121" i="1"/>
  <c r="BW121" i="1"/>
  <c r="BY125" i="1"/>
  <c r="BW125" i="1"/>
  <c r="Z132" i="1"/>
  <c r="Z136" i="1"/>
  <c r="Z152" i="1"/>
  <c r="AQ68" i="1"/>
  <c r="AQ70" i="1"/>
  <c r="AQ72" i="1"/>
  <c r="AQ74" i="1"/>
  <c r="AQ76" i="1"/>
  <c r="AQ78" i="1"/>
  <c r="AQ80" i="1"/>
  <c r="AQ82" i="1"/>
  <c r="AQ84" i="1"/>
  <c r="AQ86" i="1"/>
  <c r="AQ88" i="1"/>
  <c r="AQ90" i="1"/>
  <c r="AQ92" i="1"/>
  <c r="AQ94" i="1"/>
  <c r="BW98" i="1"/>
  <c r="X101" i="1"/>
  <c r="X102" i="1"/>
  <c r="X103" i="1"/>
  <c r="BW105" i="1"/>
  <c r="BW109" i="1"/>
  <c r="BW113" i="1"/>
  <c r="Z118" i="1"/>
  <c r="X118" i="1"/>
  <c r="Z122" i="1"/>
  <c r="X122" i="1"/>
  <c r="Z126" i="1"/>
  <c r="X126" i="1"/>
  <c r="BW145" i="1"/>
  <c r="CP146" i="1"/>
  <c r="AQ150" i="1"/>
  <c r="AO240" i="1"/>
  <c r="L14" i="5" s="1"/>
  <c r="AZ150" i="1"/>
  <c r="BY153" i="1"/>
  <c r="BH153" i="1"/>
  <c r="BY170" i="1"/>
  <c r="BH170" i="1"/>
  <c r="Z171" i="1"/>
  <c r="J171" i="1"/>
  <c r="AZ190" i="1"/>
  <c r="AI190" i="1"/>
  <c r="J193" i="1"/>
  <c r="Z193" i="1"/>
  <c r="H240" i="1"/>
  <c r="B14" i="5" s="1"/>
  <c r="CG240" i="1"/>
  <c r="Z14" i="5" s="1"/>
  <c r="BY145" i="1"/>
  <c r="BY146" i="1"/>
  <c r="Z150" i="1"/>
  <c r="BP152" i="1"/>
  <c r="BY152" i="1"/>
  <c r="CI169" i="1"/>
  <c r="CX169" i="1"/>
  <c r="CZ169" i="1" s="1"/>
  <c r="Z175" i="1"/>
  <c r="CX187" i="1"/>
  <c r="CZ187" i="1" s="1"/>
  <c r="CI187" i="1"/>
  <c r="CI194" i="1"/>
  <c r="CX194" i="1"/>
  <c r="CZ194" i="1" s="1"/>
  <c r="AQ139" i="1"/>
  <c r="BP139" i="1"/>
  <c r="CX139" i="1"/>
  <c r="CZ139" i="1" s="1"/>
  <c r="CX141" i="1"/>
  <c r="CZ141" i="1" s="1"/>
  <c r="CX143" i="1"/>
  <c r="CZ143" i="1" s="1"/>
  <c r="BP144" i="1"/>
  <c r="CX144" i="1"/>
  <c r="CZ144" i="1" s="1"/>
  <c r="BY148" i="1"/>
  <c r="Q149" i="1"/>
  <c r="BW149" i="1"/>
  <c r="BH126" i="1"/>
  <c r="J127" i="1"/>
  <c r="BH127" i="1"/>
  <c r="J128" i="1"/>
  <c r="BH128" i="1"/>
  <c r="J129" i="1"/>
  <c r="BH129" i="1"/>
  <c r="J130" i="1"/>
  <c r="BH130" i="1"/>
  <c r="J131" i="1"/>
  <c r="BH131" i="1"/>
  <c r="J132" i="1"/>
  <c r="BH132" i="1"/>
  <c r="J133" i="1"/>
  <c r="BH133" i="1"/>
  <c r="J134" i="1"/>
  <c r="BH134" i="1"/>
  <c r="J135" i="1"/>
  <c r="Y135" i="1" s="1"/>
  <c r="BH135" i="1"/>
  <c r="J136" i="1"/>
  <c r="BH136" i="1"/>
  <c r="J139" i="1"/>
  <c r="Z139" i="1"/>
  <c r="AZ139" i="1"/>
  <c r="BU240" i="1"/>
  <c r="V14" i="5" s="1"/>
  <c r="CI139" i="1"/>
  <c r="BH140" i="1"/>
  <c r="J141" i="1"/>
  <c r="AZ141" i="1"/>
  <c r="BH142" i="1"/>
  <c r="J143" i="1"/>
  <c r="AZ143" i="1"/>
  <c r="AQ144" i="1"/>
  <c r="CX145" i="1"/>
  <c r="CZ145" i="1" s="1"/>
  <c r="CX146" i="1"/>
  <c r="CZ146" i="1" s="1"/>
  <c r="BY150" i="1"/>
  <c r="BY151" i="1"/>
  <c r="Q153" i="1"/>
  <c r="Z153" i="1"/>
  <c r="CP153" i="1"/>
  <c r="BW156" i="1"/>
  <c r="CW157" i="1"/>
  <c r="BY174" i="1"/>
  <c r="BP226" i="1"/>
  <c r="BY226" i="1"/>
  <c r="O240" i="1"/>
  <c r="D14" i="5" s="1"/>
  <c r="CN240" i="1"/>
  <c r="AB14" i="5" s="1"/>
  <c r="AQ146" i="1"/>
  <c r="BP148" i="1"/>
  <c r="CX148" i="1"/>
  <c r="CZ148" i="1" s="1"/>
  <c r="BY168" i="1"/>
  <c r="BH168" i="1"/>
  <c r="Z169" i="1"/>
  <c r="J169" i="1"/>
  <c r="CI178" i="1"/>
  <c r="CX178" i="1"/>
  <c r="CZ178" i="1" s="1"/>
  <c r="BH189" i="1"/>
  <c r="BY189" i="1"/>
  <c r="BF240" i="1"/>
  <c r="R14" i="5" s="1"/>
  <c r="AZ144" i="1"/>
  <c r="CI146" i="1"/>
  <c r="AQ148" i="1"/>
  <c r="BP150" i="1"/>
  <c r="CX150" i="1"/>
  <c r="CZ150" i="1" s="1"/>
  <c r="X151" i="1"/>
  <c r="AZ152" i="1"/>
  <c r="X153" i="1"/>
  <c r="CW153" i="1"/>
  <c r="X155" i="1"/>
  <c r="CX158" i="1"/>
  <c r="CZ158" i="1" s="1"/>
  <c r="CW159" i="1"/>
  <c r="BW160" i="1"/>
  <c r="BW162" i="1"/>
  <c r="CI167" i="1"/>
  <c r="CX167" i="1"/>
  <c r="CZ167" i="1" s="1"/>
  <c r="Z172" i="1"/>
  <c r="Z174" i="1"/>
  <c r="AZ153" i="1"/>
  <c r="BY154" i="1"/>
  <c r="Z155" i="1"/>
  <c r="AX155" i="1"/>
  <c r="BY156" i="1"/>
  <c r="Z157" i="1"/>
  <c r="AZ157" i="1"/>
  <c r="BY158" i="1"/>
  <c r="Z159" i="1"/>
  <c r="BY160" i="1"/>
  <c r="Z161" i="1"/>
  <c r="AZ161" i="1"/>
  <c r="BY162" i="1"/>
  <c r="Z163" i="1"/>
  <c r="BY164" i="1"/>
  <c r="Z165" i="1"/>
  <c r="BY166" i="1"/>
  <c r="Z167" i="1"/>
  <c r="AZ174" i="1"/>
  <c r="AZ191" i="1"/>
  <c r="AI191" i="1"/>
  <c r="CI195" i="1"/>
  <c r="CX195" i="1"/>
  <c r="CZ195" i="1" s="1"/>
  <c r="CI196" i="1"/>
  <c r="CX196" i="1"/>
  <c r="CZ196" i="1" s="1"/>
  <c r="X228" i="1"/>
  <c r="Z228" i="1"/>
  <c r="AZ169" i="1"/>
  <c r="AX171" i="1"/>
  <c r="CX171" i="1"/>
  <c r="CZ171" i="1" s="1"/>
  <c r="AX178" i="1"/>
  <c r="CX180" i="1"/>
  <c r="CZ180" i="1" s="1"/>
  <c r="AZ183" i="1"/>
  <c r="Q185" i="1"/>
  <c r="BY186" i="1"/>
  <c r="Q187" i="1"/>
  <c r="BP188" i="1"/>
  <c r="CI188" i="1"/>
  <c r="CX188" i="1"/>
  <c r="CZ188" i="1" s="1"/>
  <c r="BY190" i="1"/>
  <c r="Q192" i="1"/>
  <c r="AZ192" i="1"/>
  <c r="AI192" i="1"/>
  <c r="Z194" i="1"/>
  <c r="BP196" i="1"/>
  <c r="AZ221" i="1"/>
  <c r="BH172" i="1"/>
  <c r="BW176" i="1"/>
  <c r="X177" i="1"/>
  <c r="Y177" i="1" s="1"/>
  <c r="BH179" i="1"/>
  <c r="J180" i="1"/>
  <c r="Y180" i="1" s="1"/>
  <c r="AZ180" i="1"/>
  <c r="BH181" i="1"/>
  <c r="J182" i="1"/>
  <c r="CX182" i="1"/>
  <c r="CZ182" i="1" s="1"/>
  <c r="BW183" i="1"/>
  <c r="X184" i="1"/>
  <c r="AZ185" i="1"/>
  <c r="AZ187" i="1"/>
  <c r="CI189" i="1"/>
  <c r="CX189" i="1"/>
  <c r="CZ189" i="1" s="1"/>
  <c r="BY191" i="1"/>
  <c r="AZ193" i="1"/>
  <c r="AI193" i="1"/>
  <c r="Z195" i="1"/>
  <c r="AZ204" i="1"/>
  <c r="AZ212" i="1"/>
  <c r="AZ220" i="1"/>
  <c r="Z221" i="1"/>
  <c r="BP224" i="1"/>
  <c r="BY224" i="1"/>
  <c r="AZ238" i="1"/>
  <c r="AX238" i="1"/>
  <c r="CX154" i="1"/>
  <c r="CZ154" i="1" s="1"/>
  <c r="CX156" i="1"/>
  <c r="CZ156" i="1" s="1"/>
  <c r="BH174" i="1"/>
  <c r="J175" i="1"/>
  <c r="AX175" i="1"/>
  <c r="AX182" i="1"/>
  <c r="BP186" i="1"/>
  <c r="BP190" i="1"/>
  <c r="CI190" i="1"/>
  <c r="CX190" i="1"/>
  <c r="CZ190" i="1" s="1"/>
  <c r="Q194" i="1"/>
  <c r="AZ194" i="1"/>
  <c r="AI194" i="1"/>
  <c r="AZ197" i="1"/>
  <c r="AZ203" i="1"/>
  <c r="AZ211" i="1"/>
  <c r="AZ219" i="1"/>
  <c r="X226" i="1"/>
  <c r="Z226" i="1"/>
  <c r="X231" i="1"/>
  <c r="Z231" i="1"/>
  <c r="J154" i="1"/>
  <c r="AZ154" i="1"/>
  <c r="BH155" i="1"/>
  <c r="J156" i="1"/>
  <c r="BH157" i="1"/>
  <c r="J158" i="1"/>
  <c r="AZ182" i="1"/>
  <c r="CI191" i="1"/>
  <c r="CX191" i="1"/>
  <c r="CZ191" i="1" s="1"/>
  <c r="AZ195" i="1"/>
  <c r="AI195" i="1"/>
  <c r="CX219" i="1"/>
  <c r="CZ219" i="1" s="1"/>
  <c r="BP228" i="1"/>
  <c r="BY228" i="1"/>
  <c r="BP232" i="1"/>
  <c r="BY232" i="1"/>
  <c r="CI236" i="1"/>
  <c r="CX236" i="1"/>
  <c r="CZ236" i="1" s="1"/>
  <c r="AZ168" i="1"/>
  <c r="AZ170" i="1"/>
  <c r="CX172" i="1"/>
  <c r="CZ172" i="1" s="1"/>
  <c r="BH178" i="1"/>
  <c r="CX179" i="1"/>
  <c r="CZ179" i="1" s="1"/>
  <c r="CX181" i="1"/>
  <c r="CZ181" i="1" s="1"/>
  <c r="BY185" i="1"/>
  <c r="CI186" i="1"/>
  <c r="BY187" i="1"/>
  <c r="AZ188" i="1"/>
  <c r="AI188" i="1"/>
  <c r="Z190" i="1"/>
  <c r="CI192" i="1"/>
  <c r="CX192" i="1"/>
  <c r="CZ192" i="1" s="1"/>
  <c r="BY194" i="1"/>
  <c r="AZ196" i="1"/>
  <c r="AI196" i="1"/>
  <c r="AZ201" i="1"/>
  <c r="AZ209" i="1"/>
  <c r="AZ217" i="1"/>
  <c r="BH171" i="1"/>
  <c r="J172" i="1"/>
  <c r="AZ172" i="1"/>
  <c r="J174" i="1"/>
  <c r="BH180" i="1"/>
  <c r="J181" i="1"/>
  <c r="AZ181" i="1"/>
  <c r="Q189" i="1"/>
  <c r="AZ189" i="1"/>
  <c r="AI189" i="1"/>
  <c r="BP193" i="1"/>
  <c r="CI193" i="1"/>
  <c r="CX193" i="1"/>
  <c r="CZ193" i="1" s="1"/>
  <c r="AZ198" i="1"/>
  <c r="AZ200" i="1"/>
  <c r="AZ208" i="1"/>
  <c r="AZ216" i="1"/>
  <c r="AZ222" i="1"/>
  <c r="Q232" i="1"/>
  <c r="Z232" i="1"/>
  <c r="BH221" i="1"/>
  <c r="BH222" i="1"/>
  <c r="BH223" i="1"/>
  <c r="BY230" i="1"/>
  <c r="AZ236" i="1"/>
  <c r="AI236" i="1"/>
  <c r="BP221" i="1"/>
  <c r="BP222" i="1"/>
  <c r="BP223" i="1"/>
  <c r="BW224" i="1"/>
  <c r="CX225" i="1"/>
  <c r="CZ225" i="1" s="1"/>
  <c r="BW226" i="1"/>
  <c r="CX227" i="1"/>
  <c r="CZ227" i="1" s="1"/>
  <c r="BW228" i="1"/>
  <c r="CW231" i="1"/>
  <c r="CX197" i="1"/>
  <c r="CZ197" i="1" s="1"/>
  <c r="CX198" i="1"/>
  <c r="CZ198" i="1" s="1"/>
  <c r="CX199" i="1"/>
  <c r="CZ199" i="1" s="1"/>
  <c r="CX200" i="1"/>
  <c r="CZ200" i="1" s="1"/>
  <c r="CX201" i="1"/>
  <c r="CZ201" i="1" s="1"/>
  <c r="CX202" i="1"/>
  <c r="CZ202" i="1" s="1"/>
  <c r="CX203" i="1"/>
  <c r="CZ203" i="1" s="1"/>
  <c r="CX204" i="1"/>
  <c r="CZ204" i="1" s="1"/>
  <c r="CX205" i="1"/>
  <c r="CZ205" i="1" s="1"/>
  <c r="CX206" i="1"/>
  <c r="CZ206" i="1" s="1"/>
  <c r="CX207" i="1"/>
  <c r="CZ207" i="1" s="1"/>
  <c r="CX208" i="1"/>
  <c r="CZ208" i="1" s="1"/>
  <c r="CX209" i="1"/>
  <c r="CZ209" i="1" s="1"/>
  <c r="CX210" i="1"/>
  <c r="CZ210" i="1" s="1"/>
  <c r="CX211" i="1"/>
  <c r="CZ211" i="1" s="1"/>
  <c r="CX212" i="1"/>
  <c r="CZ212" i="1" s="1"/>
  <c r="CX213" i="1"/>
  <c r="CZ213" i="1" s="1"/>
  <c r="CX214" i="1"/>
  <c r="CZ214" i="1" s="1"/>
  <c r="CX215" i="1"/>
  <c r="CZ215" i="1" s="1"/>
  <c r="CX216" i="1"/>
  <c r="CZ216" i="1" s="1"/>
  <c r="CX217" i="1"/>
  <c r="CZ217" i="1" s="1"/>
  <c r="CX218" i="1"/>
  <c r="CZ218" i="1" s="1"/>
  <c r="CI220" i="1"/>
  <c r="CI221" i="1"/>
  <c r="CI222" i="1"/>
  <c r="CI223" i="1"/>
  <c r="AZ224" i="1"/>
  <c r="CW224" i="1"/>
  <c r="AZ226" i="1"/>
  <c r="CW226" i="1"/>
  <c r="AZ228" i="1"/>
  <c r="CW228" i="1"/>
  <c r="CX230" i="1"/>
  <c r="CZ230" i="1" s="1"/>
  <c r="AZ231" i="1"/>
  <c r="BY231" i="1"/>
  <c r="AZ232" i="1"/>
  <c r="AX232" i="1"/>
  <c r="CW232" i="1"/>
  <c r="Q236" i="1"/>
  <c r="Z248" i="1"/>
  <c r="X248" i="1"/>
  <c r="AI197" i="1"/>
  <c r="AI198" i="1"/>
  <c r="AI199" i="1"/>
  <c r="AI200" i="1"/>
  <c r="AI201" i="1"/>
  <c r="AI202" i="1"/>
  <c r="AI203" i="1"/>
  <c r="AI204" i="1"/>
  <c r="AI205" i="1"/>
  <c r="AI206" i="1"/>
  <c r="AY206" i="1" s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CP220" i="1"/>
  <c r="CP221" i="1"/>
  <c r="CP222" i="1"/>
  <c r="CP223" i="1"/>
  <c r="X225" i="1"/>
  <c r="X227" i="1"/>
  <c r="X229" i="1"/>
  <c r="AZ233" i="1"/>
  <c r="AX233" i="1"/>
  <c r="CW233" i="1"/>
  <c r="BP238" i="1"/>
  <c r="V348" i="1"/>
  <c r="F17" i="5" s="1"/>
  <c r="X242" i="1"/>
  <c r="Z242" i="1"/>
  <c r="BY247" i="1"/>
  <c r="BW247" i="1"/>
  <c r="AZ234" i="1"/>
  <c r="AX234" i="1"/>
  <c r="CX246" i="1"/>
  <c r="CZ246" i="1" s="1"/>
  <c r="CW246" i="1"/>
  <c r="Q221" i="1"/>
  <c r="Q222" i="1"/>
  <c r="Q223" i="1"/>
  <c r="CX224" i="1"/>
  <c r="CZ224" i="1" s="1"/>
  <c r="Z225" i="1"/>
  <c r="BW225" i="1"/>
  <c r="CX226" i="1"/>
  <c r="CZ226" i="1" s="1"/>
  <c r="Z227" i="1"/>
  <c r="BW227" i="1"/>
  <c r="CX228" i="1"/>
  <c r="CZ228" i="1" s="1"/>
  <c r="Z229" i="1"/>
  <c r="CW229" i="1"/>
  <c r="Z234" i="1"/>
  <c r="BY234" i="1"/>
  <c r="AZ235" i="1"/>
  <c r="AX235" i="1"/>
  <c r="CW235" i="1"/>
  <c r="Z237" i="1"/>
  <c r="X237" i="1"/>
  <c r="CX239" i="1"/>
  <c r="CZ239" i="1" s="1"/>
  <c r="CI239" i="1"/>
  <c r="CW225" i="1"/>
  <c r="CW227" i="1"/>
  <c r="AX230" i="1"/>
  <c r="BY237" i="1"/>
  <c r="BW237" i="1"/>
  <c r="X244" i="1"/>
  <c r="Z244" i="1"/>
  <c r="CI238" i="1"/>
  <c r="BP239" i="1"/>
  <c r="AQ242" i="1"/>
  <c r="BP242" i="1"/>
  <c r="CX244" i="1"/>
  <c r="CZ244" i="1" s="1"/>
  <c r="CW244" i="1"/>
  <c r="BY245" i="1"/>
  <c r="BW245" i="1"/>
  <c r="Z246" i="1"/>
  <c r="X246" i="1"/>
  <c r="BP258" i="1"/>
  <c r="BY258" i="1"/>
  <c r="CX232" i="1"/>
  <c r="CZ232" i="1" s="1"/>
  <c r="CX233" i="1"/>
  <c r="CZ233" i="1" s="1"/>
  <c r="CX234" i="1"/>
  <c r="CZ234" i="1" s="1"/>
  <c r="CX235" i="1"/>
  <c r="CZ235" i="1" s="1"/>
  <c r="Q238" i="1"/>
  <c r="Z239" i="1"/>
  <c r="AZ242" i="1"/>
  <c r="BU348" i="1"/>
  <c r="V17" i="5" s="1"/>
  <c r="BY244" i="1"/>
  <c r="Z252" i="1"/>
  <c r="X252" i="1"/>
  <c r="Z245" i="1"/>
  <c r="BY251" i="1"/>
  <c r="BW251" i="1"/>
  <c r="AG348" i="1"/>
  <c r="J17" i="5" s="1"/>
  <c r="BW242" i="1"/>
  <c r="CU348" i="1"/>
  <c r="AD17" i="5" s="1"/>
  <c r="CW242" i="1"/>
  <c r="CX250" i="1"/>
  <c r="CZ250" i="1" s="1"/>
  <c r="CW250" i="1"/>
  <c r="Z253" i="1"/>
  <c r="Q253" i="1"/>
  <c r="BH236" i="1"/>
  <c r="CX237" i="1"/>
  <c r="CZ237" i="1" s="1"/>
  <c r="BY238" i="1"/>
  <c r="AZ239" i="1"/>
  <c r="BY242" i="1"/>
  <c r="AQ243" i="1"/>
  <c r="CI273" i="1"/>
  <c r="CX273" i="1"/>
  <c r="CZ273" i="1" s="1"/>
  <c r="Z294" i="1"/>
  <c r="J294" i="1"/>
  <c r="J236" i="1"/>
  <c r="BY239" i="1"/>
  <c r="AI242" i="1"/>
  <c r="BH242" i="1"/>
  <c r="CX242" i="1"/>
  <c r="CZ242" i="1" s="1"/>
  <c r="BW243" i="1"/>
  <c r="Q244" i="1"/>
  <c r="Z250" i="1"/>
  <c r="X250" i="1"/>
  <c r="BY253" i="1"/>
  <c r="BH253" i="1"/>
  <c r="BY293" i="1"/>
  <c r="BH293" i="1"/>
  <c r="CX248" i="1"/>
  <c r="CZ248" i="1" s="1"/>
  <c r="CW248" i="1"/>
  <c r="BY249" i="1"/>
  <c r="BW249" i="1"/>
  <c r="Z273" i="1"/>
  <c r="J273" i="1"/>
  <c r="BY255" i="1"/>
  <c r="BH255" i="1"/>
  <c r="CX257" i="1"/>
  <c r="CZ257" i="1" s="1"/>
  <c r="CP257" i="1"/>
  <c r="BY267" i="1"/>
  <c r="BW267" i="1"/>
  <c r="BY276" i="1"/>
  <c r="BH276" i="1"/>
  <c r="BX276" i="1" s="1"/>
  <c r="Z277" i="1"/>
  <c r="J277" i="1"/>
  <c r="CI279" i="1"/>
  <c r="CX279" i="1"/>
  <c r="CZ279" i="1" s="1"/>
  <c r="CP282" i="1"/>
  <c r="CX282" i="1"/>
  <c r="CZ282" i="1" s="1"/>
  <c r="BY298" i="1"/>
  <c r="BH298" i="1"/>
  <c r="BY328" i="1"/>
  <c r="BP328" i="1"/>
  <c r="CG348" i="1"/>
  <c r="Z17" i="5" s="1"/>
  <c r="CX252" i="1"/>
  <c r="CZ252" i="1" s="1"/>
  <c r="CW253" i="1"/>
  <c r="BY254" i="1"/>
  <c r="AI255" i="1"/>
  <c r="BW258" i="1"/>
  <c r="CW258" i="1"/>
  <c r="BY260" i="1"/>
  <c r="Z261" i="1"/>
  <c r="BY261" i="1"/>
  <c r="AZ265" i="1"/>
  <c r="Z268" i="1"/>
  <c r="X268" i="1"/>
  <c r="BP273" i="1"/>
  <c r="Q274" i="1"/>
  <c r="CP276" i="1"/>
  <c r="AQ277" i="1"/>
  <c r="BW281" i="1"/>
  <c r="BY286" i="1"/>
  <c r="BH286" i="1"/>
  <c r="X253" i="1"/>
  <c r="BW257" i="1"/>
  <c r="CW257" i="1"/>
  <c r="X258" i="1"/>
  <c r="X259" i="1"/>
  <c r="AZ259" i="1"/>
  <c r="CX261" i="1"/>
  <c r="CZ261" i="1" s="1"/>
  <c r="CP261" i="1"/>
  <c r="CW262" i="1"/>
  <c r="CI275" i="1"/>
  <c r="CX275" i="1"/>
  <c r="CZ275" i="1" s="1"/>
  <c r="BP279" i="1"/>
  <c r="Q280" i="1"/>
  <c r="Z286" i="1"/>
  <c r="J286" i="1"/>
  <c r="AZ246" i="1"/>
  <c r="AZ248" i="1"/>
  <c r="AZ250" i="1"/>
  <c r="AZ252" i="1"/>
  <c r="CX254" i="1"/>
  <c r="CZ254" i="1" s="1"/>
  <c r="Z256" i="1"/>
  <c r="J256" i="1"/>
  <c r="Z264" i="1"/>
  <c r="BY278" i="1"/>
  <c r="BH278" i="1"/>
  <c r="Z279" i="1"/>
  <c r="J279" i="1"/>
  <c r="CI316" i="1"/>
  <c r="CX316" i="1"/>
  <c r="CZ316" i="1" s="1"/>
  <c r="O348" i="1"/>
  <c r="D17" i="5" s="1"/>
  <c r="CN348" i="1"/>
  <c r="X255" i="1"/>
  <c r="CP255" i="1"/>
  <c r="X257" i="1"/>
  <c r="Y257" i="1" s="1"/>
  <c r="AZ257" i="1"/>
  <c r="Z259" i="1"/>
  <c r="BY259" i="1"/>
  <c r="Z260" i="1"/>
  <c r="X262" i="1"/>
  <c r="BY262" i="1"/>
  <c r="Z263" i="1"/>
  <c r="BY263" i="1"/>
  <c r="CI269" i="1"/>
  <c r="CX269" i="1"/>
  <c r="CZ269" i="1" s="1"/>
  <c r="BY270" i="1"/>
  <c r="BH270" i="1"/>
  <c r="BP275" i="1"/>
  <c r="Q276" i="1"/>
  <c r="CP278" i="1"/>
  <c r="AQ279" i="1"/>
  <c r="Z282" i="1"/>
  <c r="J282" i="1"/>
  <c r="BY283" i="1"/>
  <c r="BH283" i="1"/>
  <c r="BX283" i="1" s="1"/>
  <c r="BY291" i="1"/>
  <c r="BH291" i="1"/>
  <c r="Q306" i="1"/>
  <c r="Z306" i="1"/>
  <c r="AZ253" i="1"/>
  <c r="CI256" i="1"/>
  <c r="CX256" i="1"/>
  <c r="CZ256" i="1" s="1"/>
  <c r="CX263" i="1"/>
  <c r="CZ263" i="1" s="1"/>
  <c r="CP263" i="1"/>
  <c r="BY265" i="1"/>
  <c r="BW265" i="1"/>
  <c r="AZ269" i="1"/>
  <c r="CX271" i="1"/>
  <c r="CZ271" i="1" s="1"/>
  <c r="BY272" i="1"/>
  <c r="BH272" i="1"/>
  <c r="BY274" i="1"/>
  <c r="BH274" i="1"/>
  <c r="Z275" i="1"/>
  <c r="J275" i="1"/>
  <c r="BY277" i="1"/>
  <c r="CI277" i="1"/>
  <c r="CX277" i="1"/>
  <c r="CZ277" i="1" s="1"/>
  <c r="Z278" i="1"/>
  <c r="Z281" i="1"/>
  <c r="J281" i="1"/>
  <c r="Z283" i="1"/>
  <c r="CI294" i="1"/>
  <c r="CX294" i="1"/>
  <c r="CZ294" i="1" s="1"/>
  <c r="Q242" i="1"/>
  <c r="CP242" i="1"/>
  <c r="Z254" i="1"/>
  <c r="J254" i="1"/>
  <c r="BW254" i="1"/>
  <c r="AZ255" i="1"/>
  <c r="CW255" i="1"/>
  <c r="BP256" i="1"/>
  <c r="Z257" i="1"/>
  <c r="BY257" i="1"/>
  <c r="Z258" i="1"/>
  <c r="CX259" i="1"/>
  <c r="CZ259" i="1" s="1"/>
  <c r="CP259" i="1"/>
  <c r="Z266" i="1"/>
  <c r="X266" i="1"/>
  <c r="Z271" i="1"/>
  <c r="J271" i="1"/>
  <c r="AI272" i="1"/>
  <c r="CP274" i="1"/>
  <c r="AQ275" i="1"/>
  <c r="BY280" i="1"/>
  <c r="BH280" i="1"/>
  <c r="AI285" i="1"/>
  <c r="BP285" i="1"/>
  <c r="CI283" i="1"/>
  <c r="CX283" i="1"/>
  <c r="CZ283" i="1" s="1"/>
  <c r="CX288" i="1"/>
  <c r="CZ288" i="1" s="1"/>
  <c r="BY289" i="1"/>
  <c r="BH289" i="1"/>
  <c r="BX289" i="1" s="1"/>
  <c r="Z292" i="1"/>
  <c r="J292" i="1"/>
  <c r="CX258" i="1"/>
  <c r="CZ258" i="1" s="1"/>
  <c r="CX260" i="1"/>
  <c r="CZ260" i="1" s="1"/>
  <c r="CX262" i="1"/>
  <c r="CZ262" i="1" s="1"/>
  <c r="CX264" i="1"/>
  <c r="CZ264" i="1" s="1"/>
  <c r="BY281" i="1"/>
  <c r="BH281" i="1"/>
  <c r="BY287" i="1"/>
  <c r="BH287" i="1"/>
  <c r="Z290" i="1"/>
  <c r="J290" i="1"/>
  <c r="BP307" i="1"/>
  <c r="BY307" i="1"/>
  <c r="BY331" i="1"/>
  <c r="BH331" i="1"/>
  <c r="AZ254" i="1"/>
  <c r="AZ256" i="1"/>
  <c r="BH257" i="1"/>
  <c r="J258" i="1"/>
  <c r="AZ258" i="1"/>
  <c r="BH259" i="1"/>
  <c r="J260" i="1"/>
  <c r="AZ260" i="1"/>
  <c r="BH261" i="1"/>
  <c r="J262" i="1"/>
  <c r="AZ262" i="1"/>
  <c r="BH263" i="1"/>
  <c r="J264" i="1"/>
  <c r="AZ273" i="1"/>
  <c r="AI281" i="1"/>
  <c r="Z284" i="1"/>
  <c r="J284" i="1"/>
  <c r="BY284" i="1"/>
  <c r="BH284" i="1"/>
  <c r="CX284" i="1"/>
  <c r="CZ284" i="1" s="1"/>
  <c r="CP286" i="1"/>
  <c r="Z287" i="1"/>
  <c r="J287" i="1"/>
  <c r="Z288" i="1"/>
  <c r="J288" i="1"/>
  <c r="AI289" i="1"/>
  <c r="BW326" i="1"/>
  <c r="BY326" i="1"/>
  <c r="CX280" i="1"/>
  <c r="CZ280" i="1" s="1"/>
  <c r="CP306" i="1"/>
  <c r="CX306" i="1"/>
  <c r="CZ306" i="1" s="1"/>
  <c r="BH269" i="1"/>
  <c r="J270" i="1"/>
  <c r="BH271" i="1"/>
  <c r="J272" i="1"/>
  <c r="CX274" i="1"/>
  <c r="CZ274" i="1" s="1"/>
  <c r="CX276" i="1"/>
  <c r="CZ276" i="1" s="1"/>
  <c r="CX278" i="1"/>
  <c r="CZ278" i="1" s="1"/>
  <c r="CX281" i="1"/>
  <c r="CZ281" i="1" s="1"/>
  <c r="CI282" i="1"/>
  <c r="Q284" i="1"/>
  <c r="BY285" i="1"/>
  <c r="BH285" i="1"/>
  <c r="BY296" i="1"/>
  <c r="BW296" i="1"/>
  <c r="BW298" i="1"/>
  <c r="CX303" i="1"/>
  <c r="CZ303" i="1" s="1"/>
  <c r="CW303" i="1"/>
  <c r="BH273" i="1"/>
  <c r="J274" i="1"/>
  <c r="BH275" i="1"/>
  <c r="J276" i="1"/>
  <c r="AX276" i="1"/>
  <c r="BH277" i="1"/>
  <c r="J278" i="1"/>
  <c r="BH279" i="1"/>
  <c r="J280" i="1"/>
  <c r="AX280" i="1"/>
  <c r="AX283" i="1"/>
  <c r="CP284" i="1"/>
  <c r="Z285" i="1"/>
  <c r="J285" i="1"/>
  <c r="CI285" i="1"/>
  <c r="CX285" i="1"/>
  <c r="CZ285" i="1" s="1"/>
  <c r="AQ287" i="1"/>
  <c r="CW299" i="1"/>
  <c r="CX311" i="1"/>
  <c r="CZ311" i="1" s="1"/>
  <c r="CW311" i="1"/>
  <c r="AX284" i="1"/>
  <c r="AX292" i="1"/>
  <c r="Z298" i="1"/>
  <c r="Q300" i="1"/>
  <c r="Z301" i="1"/>
  <c r="Z302" i="1"/>
  <c r="BY303" i="1"/>
  <c r="BW304" i="1"/>
  <c r="Z309" i="1"/>
  <c r="Z310" i="1"/>
  <c r="BY311" i="1"/>
  <c r="BW312" i="1"/>
  <c r="BY316" i="1"/>
  <c r="BH316" i="1"/>
  <c r="CX324" i="1"/>
  <c r="CZ324" i="1" s="1"/>
  <c r="X325" i="1"/>
  <c r="Z325" i="1"/>
  <c r="J326" i="1"/>
  <c r="Z326" i="1"/>
  <c r="AI327" i="1"/>
  <c r="BH327" i="1"/>
  <c r="AQ328" i="1"/>
  <c r="CX305" i="1"/>
  <c r="CZ305" i="1" s="1"/>
  <c r="CW305" i="1"/>
  <c r="BH323" i="1"/>
  <c r="BY323" i="1"/>
  <c r="BY329" i="1"/>
  <c r="CX345" i="1"/>
  <c r="CZ345" i="1" s="1"/>
  <c r="CW345" i="1"/>
  <c r="Z303" i="1"/>
  <c r="Z304" i="1"/>
  <c r="BY305" i="1"/>
  <c r="BW306" i="1"/>
  <c r="Z311" i="1"/>
  <c r="BY314" i="1"/>
  <c r="BH314" i="1"/>
  <c r="BX314" i="1" s="1"/>
  <c r="CI314" i="1"/>
  <c r="CX314" i="1"/>
  <c r="CZ314" i="1" s="1"/>
  <c r="Z316" i="1"/>
  <c r="CZ328" i="1"/>
  <c r="BW343" i="1"/>
  <c r="BY343" i="1"/>
  <c r="CX287" i="1"/>
  <c r="CZ287" i="1" s="1"/>
  <c r="CX289" i="1"/>
  <c r="CZ289" i="1" s="1"/>
  <c r="CX291" i="1"/>
  <c r="CZ291" i="1" s="1"/>
  <c r="CX293" i="1"/>
  <c r="CZ293" i="1" s="1"/>
  <c r="Z296" i="1"/>
  <c r="X307" i="1"/>
  <c r="CX307" i="1"/>
  <c r="CZ307" i="1" s="1"/>
  <c r="CW307" i="1"/>
  <c r="J318" i="1"/>
  <c r="Z318" i="1"/>
  <c r="Q319" i="1"/>
  <c r="Z327" i="1"/>
  <c r="Q327" i="1"/>
  <c r="AI333" i="1"/>
  <c r="AZ333" i="1"/>
  <c r="CW334" i="1"/>
  <c r="CX335" i="1"/>
  <c r="CZ335" i="1" s="1"/>
  <c r="AZ285" i="1"/>
  <c r="BH288" i="1"/>
  <c r="J289" i="1"/>
  <c r="AZ289" i="1"/>
  <c r="BH290" i="1"/>
  <c r="J291" i="1"/>
  <c r="AX291" i="1"/>
  <c r="BH292" i="1"/>
  <c r="J293" i="1"/>
  <c r="AZ293" i="1"/>
  <c r="BH294" i="1"/>
  <c r="J295" i="1"/>
  <c r="Z305" i="1"/>
  <c r="Z314" i="1"/>
  <c r="BY330" i="1"/>
  <c r="BP330" i="1"/>
  <c r="CI297" i="1"/>
  <c r="CX297" i="1"/>
  <c r="CZ297" i="1" s="1"/>
  <c r="Z299" i="1"/>
  <c r="J299" i="1"/>
  <c r="X301" i="1"/>
  <c r="CX301" i="1"/>
  <c r="CZ301" i="1" s="1"/>
  <c r="CW301" i="1"/>
  <c r="CX308" i="1"/>
  <c r="CZ308" i="1" s="1"/>
  <c r="X309" i="1"/>
  <c r="CX309" i="1"/>
  <c r="CZ309" i="1" s="1"/>
  <c r="CW309" i="1"/>
  <c r="BP313" i="1"/>
  <c r="Q316" i="1"/>
  <c r="X317" i="1"/>
  <c r="CP317" i="1"/>
  <c r="BY319" i="1"/>
  <c r="Z321" i="1"/>
  <c r="BY338" i="1"/>
  <c r="BW338" i="1"/>
  <c r="AI300" i="1"/>
  <c r="BY301" i="1"/>
  <c r="BW302" i="1"/>
  <c r="Z308" i="1"/>
  <c r="BY309" i="1"/>
  <c r="BW310" i="1"/>
  <c r="AQ313" i="1"/>
  <c r="Z313" i="1"/>
  <c r="BY318" i="1"/>
  <c r="BH318" i="1"/>
  <c r="AQ319" i="1"/>
  <c r="AZ320" i="1"/>
  <c r="CX329" i="1"/>
  <c r="CZ329" i="1" s="1"/>
  <c r="X336" i="1"/>
  <c r="Z336" i="1"/>
  <c r="BY340" i="1"/>
  <c r="BW340" i="1"/>
  <c r="BD351" i="1"/>
  <c r="CI315" i="1"/>
  <c r="CX315" i="1"/>
  <c r="CZ315" i="1" s="1"/>
  <c r="Z317" i="1"/>
  <c r="J317" i="1"/>
  <c r="CX318" i="1"/>
  <c r="CZ318" i="1" s="1"/>
  <c r="CX323" i="1"/>
  <c r="CZ323" i="1" s="1"/>
  <c r="AZ328" i="1"/>
  <c r="Z332" i="1"/>
  <c r="J332" i="1"/>
  <c r="BY332" i="1"/>
  <c r="BH332" i="1"/>
  <c r="BH300" i="1"/>
  <c r="J301" i="1"/>
  <c r="BH302" i="1"/>
  <c r="J303" i="1"/>
  <c r="BH304" i="1"/>
  <c r="J305" i="1"/>
  <c r="BH306" i="1"/>
  <c r="J307" i="1"/>
  <c r="BH308" i="1"/>
  <c r="J309" i="1"/>
  <c r="AZ309" i="1"/>
  <c r="BH310" i="1"/>
  <c r="J311" i="1"/>
  <c r="AZ311" i="1"/>
  <c r="BH312" i="1"/>
  <c r="J313" i="1"/>
  <c r="BY317" i="1"/>
  <c r="BY320" i="1"/>
  <c r="CX320" i="1"/>
  <c r="CZ320" i="1" s="1"/>
  <c r="CX326" i="1"/>
  <c r="CZ326" i="1" s="1"/>
  <c r="Z328" i="1"/>
  <c r="AZ330" i="1"/>
  <c r="Z331" i="1"/>
  <c r="BY337" i="1"/>
  <c r="Z339" i="1"/>
  <c r="Z341" i="1"/>
  <c r="BY342" i="1"/>
  <c r="AZ314" i="1"/>
  <c r="Z315" i="1"/>
  <c r="J315" i="1"/>
  <c r="AZ316" i="1"/>
  <c r="AZ324" i="1"/>
  <c r="BY325" i="1"/>
  <c r="AZ327" i="1"/>
  <c r="Q329" i="1"/>
  <c r="Z330" i="1"/>
  <c r="Z333" i="1"/>
  <c r="AX333" i="1"/>
  <c r="BW333" i="1"/>
  <c r="CW333" i="1"/>
  <c r="BY339" i="1"/>
  <c r="J343" i="1"/>
  <c r="Z343" i="1"/>
  <c r="J314" i="1"/>
  <c r="BP317" i="1"/>
  <c r="CI317" i="1"/>
  <c r="CX317" i="1"/>
  <c r="CZ317" i="1" s="1"/>
  <c r="CP318" i="1"/>
  <c r="Z319" i="1"/>
  <c r="J319" i="1"/>
  <c r="CW319" i="1"/>
  <c r="CW321" i="1"/>
  <c r="CX325" i="1"/>
  <c r="CZ325" i="1" s="1"/>
  <c r="Q331" i="1"/>
  <c r="Q335" i="1"/>
  <c r="Z335" i="1"/>
  <c r="CI341" i="1"/>
  <c r="CO349" i="1"/>
  <c r="CK351" i="1"/>
  <c r="AZ322" i="1"/>
  <c r="CX334" i="1"/>
  <c r="CZ334" i="1" s="1"/>
  <c r="CX337" i="1"/>
  <c r="CZ337" i="1" s="1"/>
  <c r="AZ338" i="1"/>
  <c r="CX339" i="1"/>
  <c r="CZ339" i="1" s="1"/>
  <c r="AZ340" i="1"/>
  <c r="CX343" i="1"/>
  <c r="CZ343" i="1" s="1"/>
  <c r="CX319" i="1"/>
  <c r="CZ319" i="1" s="1"/>
  <c r="CX321" i="1"/>
  <c r="CZ321" i="1" s="1"/>
  <c r="CX331" i="1"/>
  <c r="CZ331" i="1" s="1"/>
  <c r="BY336" i="1"/>
  <c r="BY346" i="1"/>
  <c r="Z347" i="1"/>
  <c r="AX313" i="1"/>
  <c r="AZ315" i="1"/>
  <c r="AX317" i="1"/>
  <c r="AZ319" i="1"/>
  <c r="BH320" i="1"/>
  <c r="J321" i="1"/>
  <c r="AX321" i="1"/>
  <c r="AY321" i="1" s="1"/>
  <c r="CI332" i="1"/>
  <c r="CX332" i="1"/>
  <c r="CZ332" i="1" s="1"/>
  <c r="X334" i="1"/>
  <c r="BW335" i="1"/>
  <c r="Z338" i="1"/>
  <c r="Z340" i="1"/>
  <c r="CX342" i="1"/>
  <c r="CZ342" i="1" s="1"/>
  <c r="BB352" i="1"/>
  <c r="AZ329" i="1"/>
  <c r="AZ331" i="1"/>
  <c r="AZ334" i="1"/>
  <c r="AZ342" i="1"/>
  <c r="CX347" i="1"/>
  <c r="CZ347" i="1" s="1"/>
  <c r="CW347" i="1"/>
  <c r="CQ352" i="1"/>
  <c r="L3" i="2"/>
  <c r="H3" i="2"/>
  <c r="CR351" i="1"/>
  <c r="AX339" i="1"/>
  <c r="BI351" i="1"/>
  <c r="CQ351" i="1"/>
  <c r="BI352" i="1"/>
  <c r="M3" i="2"/>
  <c r="Z344" i="1"/>
  <c r="CJ351" i="1"/>
  <c r="BQ352" i="1"/>
  <c r="D3" i="2"/>
  <c r="Q3" i="2"/>
  <c r="AC3" i="2" s="1"/>
  <c r="X16" i="5" s="1"/>
  <c r="AZ332" i="1"/>
  <c r="CB352" i="1"/>
  <c r="AZ347" i="1"/>
  <c r="BB351" i="1"/>
  <c r="K352" i="1"/>
  <c r="D4" i="5" s="1"/>
  <c r="F3" i="2"/>
  <c r="CB351" i="1"/>
  <c r="CG351" i="1" s="1"/>
  <c r="Z3" i="5" s="1"/>
  <c r="AC352" i="1"/>
  <c r="AC353" i="1" s="1"/>
  <c r="J15" i="5" s="1"/>
  <c r="J3" i="2"/>
  <c r="AX330" i="1"/>
  <c r="AX336" i="1"/>
  <c r="AX327" i="1"/>
  <c r="AZ317" i="1"/>
  <c r="AX318" i="1"/>
  <c r="AX310" i="1"/>
  <c r="AX296" i="1"/>
  <c r="AX295" i="1"/>
  <c r="AX279" i="1"/>
  <c r="AX275" i="1"/>
  <c r="AX272" i="1"/>
  <c r="AX263" i="1"/>
  <c r="AX267" i="1"/>
  <c r="AX269" i="1"/>
  <c r="AX264" i="1"/>
  <c r="AX166" i="1"/>
  <c r="AX167" i="1"/>
  <c r="AZ151" i="1"/>
  <c r="AZ155" i="1"/>
  <c r="AX150" i="1"/>
  <c r="AZ159" i="1"/>
  <c r="AZ163" i="1"/>
  <c r="AX158" i="1"/>
  <c r="AX143" i="1"/>
  <c r="AX142" i="1"/>
  <c r="AZ38" i="1"/>
  <c r="AZ37" i="1"/>
  <c r="AM351" i="1"/>
  <c r="AJ352" i="1"/>
  <c r="AQ37" i="1"/>
  <c r="AX23" i="1"/>
  <c r="J6" i="1"/>
  <c r="AX147" i="1"/>
  <c r="AZ147" i="1"/>
  <c r="AX325" i="1"/>
  <c r="AX345" i="1"/>
  <c r="AX170" i="1"/>
  <c r="AX27" i="1"/>
  <c r="AX9" i="1"/>
  <c r="AI27" i="1"/>
  <c r="AC351" i="1"/>
  <c r="AG35" i="1"/>
  <c r="J10" i="5" s="1"/>
  <c r="AX154" i="1"/>
  <c r="C3" i="2"/>
  <c r="AZ10" i="1"/>
  <c r="H348" i="1"/>
  <c r="B17" i="5" s="1"/>
  <c r="J344" i="1"/>
  <c r="AX26" i="1"/>
  <c r="AY26" i="1" s="1"/>
  <c r="Q10" i="1"/>
  <c r="O13" i="1"/>
  <c r="D6" i="5" s="1"/>
  <c r="K351" i="1"/>
  <c r="AX328" i="1"/>
  <c r="Z6" i="1"/>
  <c r="O3" i="2"/>
  <c r="AA3" i="2" s="1"/>
  <c r="H16" i="5" s="1"/>
  <c r="J5" i="1"/>
  <c r="C352" i="1"/>
  <c r="H13" i="1"/>
  <c r="B6" i="5" s="1"/>
  <c r="B3" i="2"/>
  <c r="F351" i="1"/>
  <c r="AX342" i="1"/>
  <c r="AX347" i="1"/>
  <c r="AX335" i="1"/>
  <c r="AX338" i="1"/>
  <c r="AX287" i="1"/>
  <c r="AZ313" i="1"/>
  <c r="AZ321" i="1"/>
  <c r="AX326" i="1"/>
  <c r="AX329" i="1"/>
  <c r="AX332" i="1"/>
  <c r="AX265" i="1"/>
  <c r="AZ310" i="1"/>
  <c r="AZ318" i="1"/>
  <c r="AX343" i="1"/>
  <c r="AX346" i="1"/>
  <c r="AX344" i="1"/>
  <c r="AX331" i="1"/>
  <c r="AX334" i="1"/>
  <c r="AX337" i="1"/>
  <c r="AX340" i="1"/>
  <c r="AZ277" i="1"/>
  <c r="AX341" i="1"/>
  <c r="AX314" i="1"/>
  <c r="AX322" i="1"/>
  <c r="AX271" i="1"/>
  <c r="AX273" i="1"/>
  <c r="AX288" i="1"/>
  <c r="AZ302" i="1"/>
  <c r="AX302" i="1"/>
  <c r="AZ299" i="1"/>
  <c r="AX299" i="1"/>
  <c r="AZ307" i="1"/>
  <c r="AX307" i="1"/>
  <c r="AV348" i="1"/>
  <c r="N17" i="5" s="1"/>
  <c r="AZ264" i="1"/>
  <c r="AZ268" i="1"/>
  <c r="AZ292" i="1"/>
  <c r="AZ301" i="1"/>
  <c r="AX30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Z263" i="1"/>
  <c r="AX266" i="1"/>
  <c r="AZ267" i="1"/>
  <c r="AX270" i="1"/>
  <c r="AZ271" i="1"/>
  <c r="AX274" i="1"/>
  <c r="AZ275" i="1"/>
  <c r="AX278" i="1"/>
  <c r="AZ279" i="1"/>
  <c r="AX282" i="1"/>
  <c r="AZ283" i="1"/>
  <c r="AX286" i="1"/>
  <c r="AZ287" i="1"/>
  <c r="AX290" i="1"/>
  <c r="AZ291" i="1"/>
  <c r="AX294" i="1"/>
  <c r="AZ295" i="1"/>
  <c r="AZ298" i="1"/>
  <c r="AX298" i="1"/>
  <c r="AZ306" i="1"/>
  <c r="AX306" i="1"/>
  <c r="AX312" i="1"/>
  <c r="AY312" i="1" s="1"/>
  <c r="AX316" i="1"/>
  <c r="AX320" i="1"/>
  <c r="AX324" i="1"/>
  <c r="AZ296" i="1"/>
  <c r="AZ303" i="1"/>
  <c r="AX303" i="1"/>
  <c r="AY303" i="1" s="1"/>
  <c r="AZ276" i="1"/>
  <c r="AZ280" i="1"/>
  <c r="AZ288" i="1"/>
  <c r="AZ304" i="1"/>
  <c r="AX304" i="1"/>
  <c r="AZ270" i="1"/>
  <c r="AZ274" i="1"/>
  <c r="AZ278" i="1"/>
  <c r="AX281" i="1"/>
  <c r="AZ282" i="1"/>
  <c r="AX285" i="1"/>
  <c r="AZ286" i="1"/>
  <c r="AX289" i="1"/>
  <c r="AZ290" i="1"/>
  <c r="AX293" i="1"/>
  <c r="AZ294" i="1"/>
  <c r="AX297" i="1"/>
  <c r="AZ300" i="1"/>
  <c r="AX300" i="1"/>
  <c r="AZ308" i="1"/>
  <c r="AX308" i="1"/>
  <c r="AX311" i="1"/>
  <c r="AX315" i="1"/>
  <c r="AX319" i="1"/>
  <c r="AX323" i="1"/>
  <c r="AZ272" i="1"/>
  <c r="AZ284" i="1"/>
  <c r="AZ305" i="1"/>
  <c r="AX305" i="1"/>
  <c r="AX309" i="1"/>
  <c r="AX141" i="1"/>
  <c r="AX145" i="1"/>
  <c r="AX149" i="1"/>
  <c r="AX153" i="1"/>
  <c r="AX157" i="1"/>
  <c r="AX161" i="1"/>
  <c r="AX165" i="1"/>
  <c r="AX169" i="1"/>
  <c r="AX177" i="1"/>
  <c r="AX181" i="1"/>
  <c r="AY181" i="1" s="1"/>
  <c r="AV240" i="1"/>
  <c r="N14" i="5" s="1"/>
  <c r="AX140" i="1"/>
  <c r="AX144" i="1"/>
  <c r="AX148" i="1"/>
  <c r="AX152" i="1"/>
  <c r="AX156" i="1"/>
  <c r="AX160" i="1"/>
  <c r="AX164" i="1"/>
  <c r="AX168" i="1"/>
  <c r="AX172" i="1"/>
  <c r="AX176" i="1"/>
  <c r="AX180" i="1"/>
  <c r="AX184" i="1"/>
  <c r="AX139" i="1"/>
  <c r="AT351" i="1"/>
  <c r="AS351" i="1"/>
  <c r="AV137" i="1"/>
  <c r="N12" i="5" s="1"/>
  <c r="AX37" i="1"/>
  <c r="AX38" i="1"/>
  <c r="AX39" i="1"/>
  <c r="AX40" i="1"/>
  <c r="AX41" i="1"/>
  <c r="AX28" i="1"/>
  <c r="AX42" i="1"/>
  <c r="AX29" i="1"/>
  <c r="AX43" i="1"/>
  <c r="AY43" i="1" s="1"/>
  <c r="AX44" i="1"/>
  <c r="AX45" i="1"/>
  <c r="AX46" i="1"/>
  <c r="AX173" i="1"/>
  <c r="AX24" i="1"/>
  <c r="AY24" i="1" s="1"/>
  <c r="AX30" i="1"/>
  <c r="AZ24" i="1"/>
  <c r="AX16" i="1"/>
  <c r="AZ30" i="1"/>
  <c r="AZ27" i="1"/>
  <c r="AZ16" i="1"/>
  <c r="AZ23" i="1"/>
  <c r="AX25" i="1"/>
  <c r="AX22" i="1"/>
  <c r="AZ26" i="1"/>
  <c r="AV35" i="1"/>
  <c r="N10" i="5" s="1"/>
  <c r="AV20" i="1"/>
  <c r="N8" i="5" s="1"/>
  <c r="AU351" i="1"/>
  <c r="AX15" i="1"/>
  <c r="AR351" i="1"/>
  <c r="AX6" i="1"/>
  <c r="AZ9" i="1"/>
  <c r="AR352" i="1"/>
  <c r="AR353" i="1" s="1"/>
  <c r="N15" i="5" s="1"/>
  <c r="AX8" i="1"/>
  <c r="AZ8" i="1"/>
  <c r="P3" i="2"/>
  <c r="AZ5" i="1"/>
  <c r="AX7" i="1"/>
  <c r="AV13" i="1"/>
  <c r="G3" i="2"/>
  <c r="BX340" i="1" l="1"/>
  <c r="BX103" i="1"/>
  <c r="BX47" i="1"/>
  <c r="BX45" i="1"/>
  <c r="AY82" i="1"/>
  <c r="AY80" i="1"/>
  <c r="AY123" i="1"/>
  <c r="Y273" i="1"/>
  <c r="AA273" i="1" s="1"/>
  <c r="Y292" i="1"/>
  <c r="Y94" i="1"/>
  <c r="AA94" i="1" s="1"/>
  <c r="AY191" i="1"/>
  <c r="Y127" i="1"/>
  <c r="AA127" i="1" s="1"/>
  <c r="AZ13" i="1"/>
  <c r="AY246" i="1"/>
  <c r="BX284" i="1"/>
  <c r="BZ284" i="1" s="1"/>
  <c r="AY317" i="1"/>
  <c r="AY280" i="1"/>
  <c r="BA280" i="1" s="1"/>
  <c r="Y192" i="1"/>
  <c r="AY210" i="1"/>
  <c r="V351" i="1"/>
  <c r="F3" i="5" s="1"/>
  <c r="BX315" i="1"/>
  <c r="BZ315" i="1" s="1"/>
  <c r="X6" i="5"/>
  <c r="Y318" i="1"/>
  <c r="AA318" i="1" s="1"/>
  <c r="BX178" i="1"/>
  <c r="BZ178" i="1"/>
  <c r="Y336" i="1"/>
  <c r="Y52" i="1"/>
  <c r="AA52" i="1" s="1"/>
  <c r="BX282" i="1"/>
  <c r="AY343" i="1"/>
  <c r="AY155" i="1"/>
  <c r="BA155" i="1" s="1"/>
  <c r="BA206" i="1"/>
  <c r="BX70" i="1"/>
  <c r="BZ70" i="1" s="1"/>
  <c r="BX313" i="1"/>
  <c r="BZ313" i="1" s="1"/>
  <c r="Y116" i="1"/>
  <c r="AA116" i="1" s="1"/>
  <c r="AY79" i="1"/>
  <c r="AY28" i="1"/>
  <c r="AY261" i="1"/>
  <c r="BX128" i="1"/>
  <c r="BZ128" i="1" s="1"/>
  <c r="BX169" i="1"/>
  <c r="BZ169" i="1" s="1"/>
  <c r="BX220" i="1"/>
  <c r="BX309" i="1"/>
  <c r="BZ309" i="1" s="1"/>
  <c r="AY227" i="1"/>
  <c r="BA227" i="1" s="1"/>
  <c r="BX135" i="1"/>
  <c r="AY106" i="1"/>
  <c r="BA106" i="1" s="1"/>
  <c r="Y322" i="1"/>
  <c r="AY247" i="1"/>
  <c r="BA247" i="1" s="1"/>
  <c r="AY29" i="1"/>
  <c r="BA29" i="1" s="1"/>
  <c r="AY45" i="1"/>
  <c r="BA45" i="1" s="1"/>
  <c r="BA246" i="1"/>
  <c r="AY70" i="1"/>
  <c r="BA70" i="1" s="1"/>
  <c r="BX97" i="1"/>
  <c r="Y117" i="1"/>
  <c r="AA117" i="1" s="1"/>
  <c r="Y81" i="1"/>
  <c r="BX344" i="1"/>
  <c r="Y345" i="1"/>
  <c r="AA345" i="1" s="1"/>
  <c r="AY271" i="1"/>
  <c r="BA271" i="1" s="1"/>
  <c r="BX271" i="1"/>
  <c r="BZ271" i="1" s="1"/>
  <c r="BX160" i="1"/>
  <c r="BX134" i="1"/>
  <c r="BX130" i="1"/>
  <c r="BX118" i="1"/>
  <c r="Y347" i="1"/>
  <c r="AY221" i="1"/>
  <c r="BA221" i="1" s="1"/>
  <c r="BX217" i="1"/>
  <c r="BZ217" i="1" s="1"/>
  <c r="Y110" i="1"/>
  <c r="AY250" i="1"/>
  <c r="BX327" i="1"/>
  <c r="BZ327" i="1" s="1"/>
  <c r="Y288" i="1"/>
  <c r="BX286" i="1"/>
  <c r="BZ286" i="1" s="1"/>
  <c r="Y125" i="1"/>
  <c r="AA125" i="1" s="1"/>
  <c r="AY91" i="1"/>
  <c r="BX108" i="1"/>
  <c r="BZ108" i="1" s="1"/>
  <c r="BX92" i="1"/>
  <c r="BZ92" i="1" s="1"/>
  <c r="AY56" i="1"/>
  <c r="BA56" i="1" s="1"/>
  <c r="BX30" i="1"/>
  <c r="BX72" i="1"/>
  <c r="BX12" i="1"/>
  <c r="AY173" i="1"/>
  <c r="BA173" i="1" s="1"/>
  <c r="AY139" i="1"/>
  <c r="BA139" i="1" s="1"/>
  <c r="AY169" i="1"/>
  <c r="AG351" i="1"/>
  <c r="J3" i="5" s="1"/>
  <c r="BX332" i="1"/>
  <c r="Y221" i="1"/>
  <c r="BX142" i="1"/>
  <c r="AY190" i="1"/>
  <c r="BA190" i="1" s="1"/>
  <c r="BX43" i="1"/>
  <c r="AY19" i="1"/>
  <c r="Y233" i="1"/>
  <c r="AA233" i="1" s="1"/>
  <c r="AY152" i="1"/>
  <c r="BA152" i="1" s="1"/>
  <c r="AY165" i="1"/>
  <c r="BA165" i="1" s="1"/>
  <c r="AY308" i="1"/>
  <c r="BA308" i="1" s="1"/>
  <c r="AY287" i="1"/>
  <c r="Y321" i="1"/>
  <c r="AA321" i="1" s="1"/>
  <c r="Y285" i="1"/>
  <c r="AA285" i="1" s="1"/>
  <c r="AY235" i="1"/>
  <c r="AY236" i="1"/>
  <c r="BA236" i="1" s="1"/>
  <c r="AY175" i="1"/>
  <c r="BA175" i="1" s="1"/>
  <c r="AY178" i="1"/>
  <c r="BA178" i="1" s="1"/>
  <c r="BX132" i="1"/>
  <c r="BZ132" i="1" s="1"/>
  <c r="AY96" i="1"/>
  <c r="BA96" i="1" s="1"/>
  <c r="BX218" i="1"/>
  <c r="BX211" i="1"/>
  <c r="BZ211" i="1" s="1"/>
  <c r="Y114" i="1"/>
  <c r="AA114" i="1" s="1"/>
  <c r="Y97" i="1"/>
  <c r="AA97" i="1" s="1"/>
  <c r="AY65" i="1"/>
  <c r="Y291" i="1"/>
  <c r="Y264" i="1"/>
  <c r="BX243" i="1"/>
  <c r="BZ243" i="1" s="1"/>
  <c r="BX236" i="1"/>
  <c r="BZ236" i="1" s="1"/>
  <c r="BX171" i="1"/>
  <c r="BZ171" i="1" s="1"/>
  <c r="Y63" i="1"/>
  <c r="AA63" i="1" s="1"/>
  <c r="Y87" i="1"/>
  <c r="AA87" i="1" s="1"/>
  <c r="BX29" i="1"/>
  <c r="BX303" i="1"/>
  <c r="Y235" i="1"/>
  <c r="AY126" i="1"/>
  <c r="BA126" i="1" s="1"/>
  <c r="BX115" i="1"/>
  <c r="BZ115" i="1" s="1"/>
  <c r="Y230" i="1"/>
  <c r="AA230" i="1" s="1"/>
  <c r="AY245" i="1"/>
  <c r="BA245" i="1" s="1"/>
  <c r="Y279" i="1"/>
  <c r="AA279" i="1" s="1"/>
  <c r="Y158" i="1"/>
  <c r="AY92" i="1"/>
  <c r="Y123" i="1"/>
  <c r="AA123" i="1" s="1"/>
  <c r="Y77" i="1"/>
  <c r="AA77" i="1" s="1"/>
  <c r="BX52" i="1"/>
  <c r="BZ52" i="1" s="1"/>
  <c r="Y283" i="1"/>
  <c r="AA283" i="1" s="1"/>
  <c r="Y218" i="1"/>
  <c r="AA218" i="1" s="1"/>
  <c r="AY58" i="1"/>
  <c r="BA58" i="1" s="1"/>
  <c r="X17" i="5"/>
  <c r="BX149" i="1"/>
  <c r="AY41" i="1"/>
  <c r="BA41" i="1" s="1"/>
  <c r="AY142" i="1"/>
  <c r="BA142" i="1" s="1"/>
  <c r="BX326" i="1"/>
  <c r="BZ326" i="1" s="1"/>
  <c r="Y189" i="1"/>
  <c r="AA189" i="1" s="1"/>
  <c r="BX232" i="1"/>
  <c r="BZ232" i="1" s="1"/>
  <c r="Y107" i="1"/>
  <c r="AA107" i="1" s="1"/>
  <c r="AY85" i="1"/>
  <c r="BX17" i="1"/>
  <c r="BZ17" i="1" s="1"/>
  <c r="AY121" i="1"/>
  <c r="BA121" i="1" s="1"/>
  <c r="BX166" i="1"/>
  <c r="BZ166" i="1" s="1"/>
  <c r="AY44" i="1"/>
  <c r="BA44" i="1" s="1"/>
  <c r="Y339" i="1"/>
  <c r="AA339" i="1" s="1"/>
  <c r="BX80" i="1"/>
  <c r="BZ80" i="1" s="1"/>
  <c r="Y128" i="1"/>
  <c r="AA128" i="1" s="1"/>
  <c r="BX42" i="1"/>
  <c r="AY339" i="1"/>
  <c r="BA339" i="1" s="1"/>
  <c r="BX331" i="1"/>
  <c r="BX267" i="1"/>
  <c r="BZ267" i="1" s="1"/>
  <c r="AY220" i="1"/>
  <c r="BA220" i="1" s="1"/>
  <c r="H10" i="5"/>
  <c r="BX39" i="1"/>
  <c r="BZ39" i="1" s="1"/>
  <c r="Y333" i="1"/>
  <c r="AY119" i="1"/>
  <c r="BA119" i="1" s="1"/>
  <c r="BX89" i="1"/>
  <c r="Y147" i="1"/>
  <c r="AA147" i="1" s="1"/>
  <c r="BU351" i="1"/>
  <c r="V3" i="5" s="1"/>
  <c r="Y173" i="1"/>
  <c r="AA173" i="1" s="1"/>
  <c r="AY180" i="1"/>
  <c r="BA180" i="1" s="1"/>
  <c r="Y335" i="1"/>
  <c r="AA335" i="1" s="1"/>
  <c r="AY188" i="1"/>
  <c r="AY252" i="1"/>
  <c r="BA252" i="1" s="1"/>
  <c r="AY292" i="1"/>
  <c r="BA292" i="1" s="1"/>
  <c r="BX277" i="1"/>
  <c r="BZ277" i="1" s="1"/>
  <c r="Y250" i="1"/>
  <c r="AA250" i="1" s="1"/>
  <c r="BX125" i="1"/>
  <c r="Y111" i="1"/>
  <c r="AA111" i="1" s="1"/>
  <c r="BX16" i="1"/>
  <c r="BZ16" i="1" s="1"/>
  <c r="AY225" i="1"/>
  <c r="AY238" i="1"/>
  <c r="BX194" i="1"/>
  <c r="BZ194" i="1" s="1"/>
  <c r="AY112" i="1"/>
  <c r="BA112" i="1" s="1"/>
  <c r="BX107" i="1"/>
  <c r="Y5" i="1"/>
  <c r="AA5" i="1" s="1"/>
  <c r="AY30" i="1"/>
  <c r="BA30" i="1" s="1"/>
  <c r="AY323" i="1"/>
  <c r="BA323" i="1" s="1"/>
  <c r="AY331" i="1"/>
  <c r="BX296" i="1"/>
  <c r="BZ296" i="1" s="1"/>
  <c r="BX259" i="1"/>
  <c r="BX272" i="1"/>
  <c r="BX155" i="1"/>
  <c r="Y126" i="1"/>
  <c r="AA126" i="1" s="1"/>
  <c r="BX105" i="1"/>
  <c r="BZ105" i="1" s="1"/>
  <c r="Y67" i="1"/>
  <c r="AA67" i="1" s="1"/>
  <c r="Y54" i="1"/>
  <c r="AY114" i="1"/>
  <c r="BA114" i="1" s="1"/>
  <c r="Y95" i="1"/>
  <c r="AA95" i="1" s="1"/>
  <c r="AY226" i="1"/>
  <c r="BA226" i="1" s="1"/>
  <c r="AY100" i="1"/>
  <c r="BA100" i="1" s="1"/>
  <c r="AY230" i="1"/>
  <c r="BA230" i="1" s="1"/>
  <c r="Y80" i="1"/>
  <c r="AA80" i="1" s="1"/>
  <c r="AY122" i="1"/>
  <c r="BA122" i="1" s="1"/>
  <c r="AY63" i="1"/>
  <c r="BZ72" i="1"/>
  <c r="Y272" i="1"/>
  <c r="AA272" i="1" s="1"/>
  <c r="Y290" i="1"/>
  <c r="Y271" i="1"/>
  <c r="Y62" i="1"/>
  <c r="AA62" i="1" s="1"/>
  <c r="Y58" i="1"/>
  <c r="AA58" i="1" s="1"/>
  <c r="Y119" i="1"/>
  <c r="BX173" i="1"/>
  <c r="BZ173" i="1" s="1"/>
  <c r="Y346" i="1"/>
  <c r="AA346" i="1" s="1"/>
  <c r="BX192" i="1"/>
  <c r="BZ192" i="1" s="1"/>
  <c r="AY131" i="1"/>
  <c r="BA131" i="1" s="1"/>
  <c r="BX75" i="1"/>
  <c r="BX106" i="1"/>
  <c r="BZ106" i="1" s="1"/>
  <c r="AY73" i="1"/>
  <c r="BA73" i="1" s="1"/>
  <c r="AY297" i="1"/>
  <c r="BA297" i="1" s="1"/>
  <c r="AO351" i="1"/>
  <c r="L3" i="5" s="1"/>
  <c r="Y331" i="1"/>
  <c r="AA331" i="1" s="1"/>
  <c r="Y315" i="1"/>
  <c r="AA315" i="1" s="1"/>
  <c r="AY201" i="1"/>
  <c r="BX179" i="1"/>
  <c r="BZ179" i="1" s="1"/>
  <c r="Y18" i="1"/>
  <c r="AA18" i="1" s="1"/>
  <c r="Y29" i="1"/>
  <c r="AA29" i="1" s="1"/>
  <c r="BX234" i="1"/>
  <c r="AY229" i="1"/>
  <c r="BA229" i="1" s="1"/>
  <c r="AY322" i="1"/>
  <c r="BA322" i="1" s="1"/>
  <c r="Y300" i="1"/>
  <c r="AA300" i="1" s="1"/>
  <c r="Y275" i="1"/>
  <c r="BX190" i="1"/>
  <c r="BZ190" i="1" s="1"/>
  <c r="AY48" i="1"/>
  <c r="BA48" i="1" s="1"/>
  <c r="BX182" i="1"/>
  <c r="BZ182" i="1" s="1"/>
  <c r="BX117" i="1"/>
  <c r="BZ117" i="1" s="1"/>
  <c r="AY128" i="1"/>
  <c r="BA128" i="1" s="1"/>
  <c r="BX6" i="1"/>
  <c r="BZ6" i="1" s="1"/>
  <c r="AA192" i="1"/>
  <c r="AY17" i="1"/>
  <c r="BA17" i="1" s="1"/>
  <c r="BA343" i="1"/>
  <c r="AB4" i="5"/>
  <c r="Y326" i="1"/>
  <c r="AA326" i="1" s="1"/>
  <c r="Y155" i="1"/>
  <c r="AA155" i="1" s="1"/>
  <c r="BX121" i="1"/>
  <c r="Y108" i="1"/>
  <c r="AA108" i="1" s="1"/>
  <c r="AY110" i="1"/>
  <c r="BA110" i="1" s="1"/>
  <c r="Y28" i="1"/>
  <c r="BX71" i="1"/>
  <c r="BZ71" i="1" s="1"/>
  <c r="Y314" i="1"/>
  <c r="AA314" i="1" s="1"/>
  <c r="AY197" i="1"/>
  <c r="BA197" i="1" s="1"/>
  <c r="AY101" i="1"/>
  <c r="BX112" i="1"/>
  <c r="BZ112" i="1" s="1"/>
  <c r="Y298" i="1"/>
  <c r="AA298" i="1" s="1"/>
  <c r="Y342" i="1"/>
  <c r="AA342" i="1" s="1"/>
  <c r="AY66" i="1"/>
  <c r="BH20" i="1"/>
  <c r="R7" i="5" s="1"/>
  <c r="S7" i="5" s="1"/>
  <c r="AQ20" i="1"/>
  <c r="L7" i="5" s="1"/>
  <c r="M7" i="5" s="1"/>
  <c r="BX187" i="1"/>
  <c r="BZ187" i="1" s="1"/>
  <c r="Y338" i="1"/>
  <c r="AY148" i="1"/>
  <c r="BA148" i="1" s="1"/>
  <c r="AY161" i="1"/>
  <c r="BA161" i="1" s="1"/>
  <c r="Y175" i="1"/>
  <c r="AA175" i="1" s="1"/>
  <c r="AY98" i="1"/>
  <c r="BX341" i="1"/>
  <c r="BZ341" i="1" s="1"/>
  <c r="CP20" i="1"/>
  <c r="AD7" i="5" s="1"/>
  <c r="AE7" i="5" s="1"/>
  <c r="Y160" i="1"/>
  <c r="AA160" i="1" s="1"/>
  <c r="AY8" i="1"/>
  <c r="BA8" i="1" s="1"/>
  <c r="AY157" i="1"/>
  <c r="BA157" i="1" s="1"/>
  <c r="AY316" i="1"/>
  <c r="BA316" i="1" s="1"/>
  <c r="AY265" i="1"/>
  <c r="BA265" i="1" s="1"/>
  <c r="BX294" i="1"/>
  <c r="BZ294" i="1" s="1"/>
  <c r="Y141" i="1"/>
  <c r="AA141" i="1" s="1"/>
  <c r="Y136" i="1"/>
  <c r="AA136" i="1" s="1"/>
  <c r="BX111" i="1"/>
  <c r="BZ111" i="1" s="1"/>
  <c r="AY53" i="1"/>
  <c r="BX342" i="1"/>
  <c r="BZ342" i="1" s="1"/>
  <c r="Y324" i="1"/>
  <c r="AA324" i="1" s="1"/>
  <c r="BX201" i="1"/>
  <c r="BZ201" i="1" s="1"/>
  <c r="Y170" i="1"/>
  <c r="AA170" i="1" s="1"/>
  <c r="BX141" i="1"/>
  <c r="BZ141" i="1" s="1"/>
  <c r="Y205" i="1"/>
  <c r="AA205" i="1" s="1"/>
  <c r="AY129" i="1"/>
  <c r="BA129" i="1" s="1"/>
  <c r="BX83" i="1"/>
  <c r="BZ83" i="1" s="1"/>
  <c r="BX73" i="1"/>
  <c r="BZ73" i="1" s="1"/>
  <c r="BX159" i="1"/>
  <c r="BZ159" i="1" s="1"/>
  <c r="BX214" i="1"/>
  <c r="BZ214" i="1" s="1"/>
  <c r="BX110" i="1"/>
  <c r="BZ110" i="1" s="1"/>
  <c r="BX27" i="1"/>
  <c r="BZ27" i="1" s="1"/>
  <c r="AY256" i="1"/>
  <c r="BA256" i="1" s="1"/>
  <c r="BA261" i="1"/>
  <c r="AY335" i="1"/>
  <c r="BA335" i="1" s="1"/>
  <c r="AY244" i="1"/>
  <c r="BA244" i="1" s="1"/>
  <c r="AY306" i="1"/>
  <c r="BA306" i="1" s="1"/>
  <c r="AY259" i="1"/>
  <c r="BA259" i="1" s="1"/>
  <c r="AY251" i="1"/>
  <c r="BA251" i="1" s="1"/>
  <c r="AY307" i="1"/>
  <c r="BA307" i="1" s="1"/>
  <c r="AY342" i="1"/>
  <c r="BA342" i="1" s="1"/>
  <c r="AY345" i="1"/>
  <c r="BA345" i="1" s="1"/>
  <c r="AY326" i="1"/>
  <c r="BA326" i="1" s="1"/>
  <c r="AY325" i="1"/>
  <c r="BA325" i="1" s="1"/>
  <c r="AY315" i="1"/>
  <c r="BA315" i="1" s="1"/>
  <c r="AY185" i="1"/>
  <c r="BA185" i="1" s="1"/>
  <c r="AY174" i="1"/>
  <c r="BA174" i="1" s="1"/>
  <c r="AY300" i="1"/>
  <c r="BA300" i="1" s="1"/>
  <c r="AY253" i="1"/>
  <c r="AY337" i="1"/>
  <c r="BA337" i="1" s="1"/>
  <c r="AY249" i="1"/>
  <c r="BA249" i="1" s="1"/>
  <c r="AY336" i="1"/>
  <c r="BA336" i="1" s="1"/>
  <c r="AY311" i="1"/>
  <c r="BA311" i="1" s="1"/>
  <c r="AY282" i="1"/>
  <c r="BA282" i="1" s="1"/>
  <c r="AY167" i="1"/>
  <c r="BA167" i="1" s="1"/>
  <c r="BA43" i="1"/>
  <c r="AY22" i="1"/>
  <c r="BA22" i="1" s="1"/>
  <c r="Y265" i="1"/>
  <c r="AA265" i="1" s="1"/>
  <c r="Y311" i="1"/>
  <c r="AA311" i="1" s="1"/>
  <c r="Y182" i="1"/>
  <c r="AA182" i="1" s="1"/>
  <c r="Y187" i="1"/>
  <c r="AA187" i="1" s="1"/>
  <c r="Y171" i="1"/>
  <c r="AA171" i="1" s="1"/>
  <c r="Y162" i="1"/>
  <c r="AA162" i="1" s="1"/>
  <c r="Y154" i="1"/>
  <c r="AA154" i="1" s="1"/>
  <c r="R353" i="1"/>
  <c r="F15" i="5" s="1"/>
  <c r="O351" i="1"/>
  <c r="D3" i="5" s="1"/>
  <c r="E3" i="5" s="1"/>
  <c r="Y130" i="1"/>
  <c r="AA130" i="1" s="1"/>
  <c r="Y37" i="1"/>
  <c r="AA37" i="1" s="1"/>
  <c r="Y203" i="1"/>
  <c r="AA203" i="1" s="1"/>
  <c r="Y169" i="1"/>
  <c r="AA169" i="1" s="1"/>
  <c r="Y229" i="1"/>
  <c r="Y239" i="1"/>
  <c r="AA239" i="1" s="1"/>
  <c r="Y174" i="1"/>
  <c r="AA174" i="1" s="1"/>
  <c r="Y214" i="1"/>
  <c r="AA214" i="1" s="1"/>
  <c r="Y213" i="1"/>
  <c r="AA213" i="1" s="1"/>
  <c r="Y167" i="1"/>
  <c r="AA167" i="1" s="1"/>
  <c r="Y254" i="1"/>
  <c r="Y188" i="1"/>
  <c r="AA188" i="1" s="1"/>
  <c r="Y217" i="1"/>
  <c r="AA217" i="1" s="1"/>
  <c r="Y150" i="1"/>
  <c r="AA150" i="1" s="1"/>
  <c r="BX324" i="1"/>
  <c r="BZ324" i="1" s="1"/>
  <c r="BZ149" i="1"/>
  <c r="Y25" i="1"/>
  <c r="AA25" i="1" s="1"/>
  <c r="X35" i="1"/>
  <c r="F9" i="5" s="1"/>
  <c r="G9" i="5" s="1"/>
  <c r="AY5" i="1"/>
  <c r="BA5" i="1" s="1"/>
  <c r="AY145" i="1"/>
  <c r="BA145" i="1" s="1"/>
  <c r="AY40" i="1"/>
  <c r="BA40" i="1" s="1"/>
  <c r="AY156" i="1"/>
  <c r="BA156" i="1" s="1"/>
  <c r="Y181" i="1"/>
  <c r="AA181" i="1" s="1"/>
  <c r="AY147" i="1"/>
  <c r="BA147" i="1" s="1"/>
  <c r="AY46" i="1"/>
  <c r="BA46" i="1" s="1"/>
  <c r="BX291" i="1"/>
  <c r="CW20" i="1"/>
  <c r="AY320" i="1"/>
  <c r="BA320" i="1" s="1"/>
  <c r="BX109" i="1"/>
  <c r="BZ109" i="1" s="1"/>
  <c r="AY223" i="1"/>
  <c r="BA223" i="1" s="1"/>
  <c r="BX158" i="1"/>
  <c r="BZ158" i="1" s="1"/>
  <c r="AY164" i="1"/>
  <c r="BA164" i="1" s="1"/>
  <c r="AY288" i="1"/>
  <c r="BA288" i="1" s="1"/>
  <c r="CO351" i="1"/>
  <c r="AY212" i="1"/>
  <c r="BA212" i="1" s="1"/>
  <c r="AY204" i="1"/>
  <c r="BA204" i="1" s="1"/>
  <c r="BA225" i="1"/>
  <c r="Y120" i="1"/>
  <c r="Y82" i="1"/>
  <c r="AA82" i="1" s="1"/>
  <c r="AY97" i="1"/>
  <c r="BA97" i="1" s="1"/>
  <c r="BX246" i="1"/>
  <c r="BZ246" i="1" s="1"/>
  <c r="BX9" i="1"/>
  <c r="BZ9" i="1" s="1"/>
  <c r="AY168" i="1"/>
  <c r="BA168" i="1" s="1"/>
  <c r="AY160" i="1"/>
  <c r="BA160" i="1" s="1"/>
  <c r="AY269" i="1"/>
  <c r="BA269" i="1" s="1"/>
  <c r="Y343" i="1"/>
  <c r="AA343" i="1" s="1"/>
  <c r="BX196" i="1"/>
  <c r="BZ196" i="1" s="1"/>
  <c r="BX126" i="1"/>
  <c r="BX104" i="1"/>
  <c r="Y74" i="1"/>
  <c r="AA74" i="1" s="1"/>
  <c r="AY222" i="1"/>
  <c r="BA222" i="1" s="1"/>
  <c r="BX175" i="1"/>
  <c r="BZ175" i="1" s="1"/>
  <c r="BX264" i="1"/>
  <c r="BZ264" i="1" s="1"/>
  <c r="AY270" i="1"/>
  <c r="BA270" i="1" s="1"/>
  <c r="BZ345" i="1"/>
  <c r="AY51" i="1"/>
  <c r="BA51" i="1" s="1"/>
  <c r="Y281" i="1"/>
  <c r="AA281" i="1" s="1"/>
  <c r="BX274" i="1"/>
  <c r="BZ274" i="1" s="1"/>
  <c r="AY38" i="1"/>
  <c r="BX333" i="1"/>
  <c r="AY276" i="1"/>
  <c r="BA276" i="1" s="1"/>
  <c r="Y133" i="1"/>
  <c r="AA133" i="1" s="1"/>
  <c r="Y50" i="1"/>
  <c r="AA50" i="1" s="1"/>
  <c r="Y88" i="1"/>
  <c r="AA88" i="1" s="1"/>
  <c r="Y340" i="1"/>
  <c r="AA340" i="1" s="1"/>
  <c r="BX202" i="1"/>
  <c r="BZ202" i="1" s="1"/>
  <c r="BX200" i="1"/>
  <c r="BZ200" i="1" s="1"/>
  <c r="AY237" i="1"/>
  <c r="BA237" i="1" s="1"/>
  <c r="BX252" i="1"/>
  <c r="BZ252" i="1" s="1"/>
  <c r="BX154" i="1"/>
  <c r="BZ154" i="1" s="1"/>
  <c r="BX147" i="1"/>
  <c r="BZ147" i="1" s="1"/>
  <c r="AY141" i="1"/>
  <c r="BA141" i="1" s="1"/>
  <c r="AY176" i="1"/>
  <c r="BA176" i="1" s="1"/>
  <c r="AY341" i="1"/>
  <c r="BA341" i="1" s="1"/>
  <c r="Y325" i="1"/>
  <c r="AA325" i="1" s="1"/>
  <c r="BX157" i="1"/>
  <c r="BZ157" i="1" s="1"/>
  <c r="AY75" i="1"/>
  <c r="BA75" i="1" s="1"/>
  <c r="BX34" i="1"/>
  <c r="BZ34" i="1" s="1"/>
  <c r="BX231" i="1"/>
  <c r="BZ231" i="1" s="1"/>
  <c r="BX247" i="1"/>
  <c r="BZ247" i="1" s="1"/>
  <c r="AY16" i="1"/>
  <c r="AY304" i="1"/>
  <c r="BA304" i="1" s="1"/>
  <c r="AY324" i="1"/>
  <c r="BA324" i="1" s="1"/>
  <c r="AY233" i="1"/>
  <c r="BA233" i="1" s="1"/>
  <c r="AY189" i="1"/>
  <c r="BA189" i="1" s="1"/>
  <c r="Y172" i="1"/>
  <c r="AA172" i="1" s="1"/>
  <c r="Y156" i="1"/>
  <c r="AA156" i="1" s="1"/>
  <c r="BZ220" i="1"/>
  <c r="BX153" i="1"/>
  <c r="BZ153" i="1" s="1"/>
  <c r="Y112" i="1"/>
  <c r="AA112" i="1" s="1"/>
  <c r="Y124" i="1"/>
  <c r="AA124" i="1" s="1"/>
  <c r="BX101" i="1"/>
  <c r="BZ101" i="1" s="1"/>
  <c r="Y43" i="1"/>
  <c r="AA43" i="1" s="1"/>
  <c r="Y70" i="1"/>
  <c r="AA70" i="1" s="1"/>
  <c r="Y113" i="1"/>
  <c r="AA113" i="1" s="1"/>
  <c r="AY42" i="1"/>
  <c r="BA42" i="1" s="1"/>
  <c r="AY262" i="1"/>
  <c r="BA262" i="1" s="1"/>
  <c r="AY254" i="1"/>
  <c r="BA254" i="1" s="1"/>
  <c r="AI35" i="1"/>
  <c r="J9" i="5" s="1"/>
  <c r="BX257" i="1"/>
  <c r="BZ257" i="1" s="1"/>
  <c r="BX174" i="1"/>
  <c r="BZ174" i="1" s="1"/>
  <c r="BZ29" i="1"/>
  <c r="AY103" i="1"/>
  <c r="BA85" i="1"/>
  <c r="Y92" i="1"/>
  <c r="AA92" i="1" s="1"/>
  <c r="Y198" i="1"/>
  <c r="AA198" i="1" s="1"/>
  <c r="AY159" i="1"/>
  <c r="BA159" i="1" s="1"/>
  <c r="BX87" i="1"/>
  <c r="BZ87" i="1" s="1"/>
  <c r="BA253" i="1"/>
  <c r="AA104" i="1"/>
  <c r="AY32" i="1"/>
  <c r="BA32" i="1" s="1"/>
  <c r="AY186" i="1"/>
  <c r="BA186" i="1" s="1"/>
  <c r="AY83" i="1"/>
  <c r="BA83" i="1" s="1"/>
  <c r="BX77" i="1"/>
  <c r="BZ77" i="1" s="1"/>
  <c r="Y26" i="1"/>
  <c r="AA26" i="1" s="1"/>
  <c r="BX292" i="1"/>
  <c r="BZ292" i="1" s="1"/>
  <c r="BX256" i="1"/>
  <c r="BZ97" i="1"/>
  <c r="Y59" i="1"/>
  <c r="AA59" i="1" s="1"/>
  <c r="BX95" i="1"/>
  <c r="BZ95" i="1" s="1"/>
  <c r="H8" i="5"/>
  <c r="BX37" i="1"/>
  <c r="BZ37" i="1" s="1"/>
  <c r="BX346" i="1"/>
  <c r="BZ346" i="1" s="1"/>
  <c r="AY239" i="1"/>
  <c r="Y199" i="1"/>
  <c r="AA199" i="1" s="1"/>
  <c r="AY125" i="1"/>
  <c r="BA125" i="1" s="1"/>
  <c r="BX248" i="1"/>
  <c r="BX203" i="1"/>
  <c r="BZ203" i="1" s="1"/>
  <c r="AY286" i="1"/>
  <c r="BA286" i="1" s="1"/>
  <c r="AY150" i="1"/>
  <c r="BA150" i="1" s="1"/>
  <c r="BX140" i="1"/>
  <c r="BZ140" i="1" s="1"/>
  <c r="BX66" i="1"/>
  <c r="BX62" i="1"/>
  <c r="BZ62" i="1" s="1"/>
  <c r="BX58" i="1"/>
  <c r="BZ58" i="1" s="1"/>
  <c r="BZ47" i="1"/>
  <c r="AY11" i="1"/>
  <c r="BA11" i="1" s="1"/>
  <c r="BX266" i="1"/>
  <c r="BZ266" i="1" s="1"/>
  <c r="Y197" i="1"/>
  <c r="AA197" i="1" s="1"/>
  <c r="AY183" i="1"/>
  <c r="BA183" i="1" s="1"/>
  <c r="AY64" i="1"/>
  <c r="BA64" i="1" s="1"/>
  <c r="BZ12" i="1"/>
  <c r="BX230" i="1"/>
  <c r="BZ230" i="1" s="1"/>
  <c r="AY228" i="1"/>
  <c r="BX336" i="1"/>
  <c r="BZ336" i="1" s="1"/>
  <c r="BX208" i="1"/>
  <c r="BZ208" i="1" s="1"/>
  <c r="BX195" i="1"/>
  <c r="BZ195" i="1" s="1"/>
  <c r="BX165" i="1"/>
  <c r="BZ165" i="1" s="1"/>
  <c r="BX337" i="1"/>
  <c r="Y320" i="1"/>
  <c r="AA320" i="1" s="1"/>
  <c r="AY62" i="1"/>
  <c r="Y8" i="1"/>
  <c r="AA8" i="1" s="1"/>
  <c r="AY172" i="1"/>
  <c r="BA172" i="1" s="1"/>
  <c r="AY272" i="1"/>
  <c r="BA272" i="1" s="1"/>
  <c r="BX120" i="1"/>
  <c r="BZ120" i="1" s="1"/>
  <c r="AY10" i="1"/>
  <c r="BA10" i="1" s="1"/>
  <c r="Y161" i="1"/>
  <c r="AA161" i="1" s="1"/>
  <c r="AY105" i="1"/>
  <c r="BA105" i="1" s="1"/>
  <c r="BX212" i="1"/>
  <c r="BZ212" i="1" s="1"/>
  <c r="AA204" i="1"/>
  <c r="Y212" i="1"/>
  <c r="AA212" i="1" s="1"/>
  <c r="Y287" i="1"/>
  <c r="AA287" i="1" s="1"/>
  <c r="AY213" i="1"/>
  <c r="BA213" i="1" s="1"/>
  <c r="AY171" i="1"/>
  <c r="BA171" i="1" s="1"/>
  <c r="BX156" i="1"/>
  <c r="BZ156" i="1" s="1"/>
  <c r="Y68" i="1"/>
  <c r="AA68" i="1" s="1"/>
  <c r="BX40" i="1"/>
  <c r="BZ40" i="1" s="1"/>
  <c r="BZ30" i="1"/>
  <c r="AY255" i="1"/>
  <c r="BA255" i="1" s="1"/>
  <c r="Y313" i="1"/>
  <c r="AA313" i="1" s="1"/>
  <c r="Y286" i="1"/>
  <c r="AA286" i="1" s="1"/>
  <c r="Y118" i="1"/>
  <c r="AA118" i="1" s="1"/>
  <c r="Y45" i="1"/>
  <c r="AA45" i="1" s="1"/>
  <c r="Y310" i="1"/>
  <c r="AA310" i="1" s="1"/>
  <c r="Y323" i="1"/>
  <c r="AA323" i="1" s="1"/>
  <c r="Y245" i="1"/>
  <c r="AA245" i="1" s="1"/>
  <c r="AA235" i="1"/>
  <c r="BX204" i="1"/>
  <c r="BZ204" i="1" s="1"/>
  <c r="BX146" i="1"/>
  <c r="BZ146" i="1" s="1"/>
  <c r="BX68" i="1"/>
  <c r="BZ68" i="1" s="1"/>
  <c r="Y312" i="1"/>
  <c r="Y223" i="1"/>
  <c r="AA223" i="1" s="1"/>
  <c r="Y55" i="1"/>
  <c r="AA55" i="1" s="1"/>
  <c r="AY7" i="1"/>
  <c r="BA7" i="1" s="1"/>
  <c r="AY257" i="1"/>
  <c r="BA257" i="1" s="1"/>
  <c r="AY314" i="1"/>
  <c r="BA314" i="1" s="1"/>
  <c r="AY263" i="1"/>
  <c r="BA263" i="1" s="1"/>
  <c r="BX290" i="1"/>
  <c r="BX343" i="1"/>
  <c r="BZ343" i="1" s="1"/>
  <c r="Y260" i="1"/>
  <c r="AA260" i="1" s="1"/>
  <c r="AY209" i="1"/>
  <c r="BA209" i="1" s="1"/>
  <c r="Y40" i="1"/>
  <c r="AA40" i="1" s="1"/>
  <c r="AY162" i="1"/>
  <c r="BA162" i="1" s="1"/>
  <c r="BX79" i="1"/>
  <c r="BZ79" i="1" s="1"/>
  <c r="Y11" i="1"/>
  <c r="AA11" i="1" s="1"/>
  <c r="Y297" i="1"/>
  <c r="AA297" i="1" s="1"/>
  <c r="AY151" i="1"/>
  <c r="BA151" i="1" s="1"/>
  <c r="AY309" i="1"/>
  <c r="BA309" i="1" s="1"/>
  <c r="AY327" i="1"/>
  <c r="BA327" i="1" s="1"/>
  <c r="BZ282" i="1"/>
  <c r="AY234" i="1"/>
  <c r="BA234" i="1" s="1"/>
  <c r="Y232" i="1"/>
  <c r="AA232" i="1" s="1"/>
  <c r="AY194" i="1"/>
  <c r="BA194" i="1" s="1"/>
  <c r="AY90" i="1"/>
  <c r="BA90" i="1" s="1"/>
  <c r="BX122" i="1"/>
  <c r="BZ122" i="1" s="1"/>
  <c r="Y341" i="1"/>
  <c r="AA341" i="1" s="1"/>
  <c r="Y234" i="1"/>
  <c r="AA234" i="1" s="1"/>
  <c r="Y337" i="1"/>
  <c r="AA337" i="1" s="1"/>
  <c r="Y224" i="1"/>
  <c r="Y75" i="1"/>
  <c r="AA75" i="1" s="1"/>
  <c r="Y186" i="1"/>
  <c r="AA186" i="1" s="1"/>
  <c r="BX229" i="1"/>
  <c r="BZ229" i="1" s="1"/>
  <c r="AY163" i="1"/>
  <c r="BA163" i="1" s="1"/>
  <c r="Y106" i="1"/>
  <c r="AA106" i="1" s="1"/>
  <c r="Y7" i="1"/>
  <c r="AA7" i="1" s="1"/>
  <c r="AY67" i="1"/>
  <c r="BA67" i="1" s="1"/>
  <c r="Y23" i="1"/>
  <c r="AA23" i="1" s="1"/>
  <c r="AY294" i="1"/>
  <c r="BA294" i="1" s="1"/>
  <c r="AY278" i="1"/>
  <c r="BA278" i="1" s="1"/>
  <c r="AY340" i="1"/>
  <c r="BA340" i="1" s="1"/>
  <c r="AY338" i="1"/>
  <c r="BA338" i="1" s="1"/>
  <c r="Y303" i="1"/>
  <c r="AA303" i="1" s="1"/>
  <c r="BX288" i="1"/>
  <c r="BZ288" i="1" s="1"/>
  <c r="BZ303" i="1"/>
  <c r="Y282" i="1"/>
  <c r="AA282" i="1" s="1"/>
  <c r="AA247" i="1"/>
  <c r="AY214" i="1"/>
  <c r="BA214" i="1" s="1"/>
  <c r="Y121" i="1"/>
  <c r="Y146" i="1"/>
  <c r="AA146" i="1" s="1"/>
  <c r="AY102" i="1"/>
  <c r="Y99" i="1"/>
  <c r="AA99" i="1" s="1"/>
  <c r="BX197" i="1"/>
  <c r="BZ197" i="1" s="1"/>
  <c r="BX177" i="1"/>
  <c r="BZ177" i="1" s="1"/>
  <c r="BX207" i="1"/>
  <c r="BZ207" i="1" s="1"/>
  <c r="Y200" i="1"/>
  <c r="AA200" i="1" s="1"/>
  <c r="Y195" i="1"/>
  <c r="AA195" i="1" s="1"/>
  <c r="AY130" i="1"/>
  <c r="BA130" i="1" s="1"/>
  <c r="BX74" i="1"/>
  <c r="BZ74" i="1" s="1"/>
  <c r="BX76" i="1"/>
  <c r="BZ76" i="1" s="1"/>
  <c r="AY134" i="1"/>
  <c r="BA134" i="1" s="1"/>
  <c r="AY61" i="1"/>
  <c r="BA61" i="1" s="1"/>
  <c r="BX206" i="1"/>
  <c r="BZ206" i="1" s="1"/>
  <c r="Y249" i="1"/>
  <c r="AA249" i="1" s="1"/>
  <c r="BX90" i="1"/>
  <c r="BZ90" i="1" s="1"/>
  <c r="BA53" i="1"/>
  <c r="BA26" i="1"/>
  <c r="AY144" i="1"/>
  <c r="BA144" i="1" s="1"/>
  <c r="AY149" i="1"/>
  <c r="BA149" i="1" s="1"/>
  <c r="BA312" i="1"/>
  <c r="AY260" i="1"/>
  <c r="BA260" i="1" s="1"/>
  <c r="H17" i="5"/>
  <c r="BN351" i="1"/>
  <c r="T3" i="5" s="1"/>
  <c r="Y280" i="1"/>
  <c r="AA280" i="1" s="1"/>
  <c r="BX273" i="1"/>
  <c r="BZ273" i="1" s="1"/>
  <c r="BX287" i="1"/>
  <c r="BZ287" i="1" s="1"/>
  <c r="AY277" i="1"/>
  <c r="BA277" i="1" s="1"/>
  <c r="Y222" i="1"/>
  <c r="AA222" i="1" s="1"/>
  <c r="Y248" i="1"/>
  <c r="AA248" i="1" s="1"/>
  <c r="AY68" i="1"/>
  <c r="Y98" i="1"/>
  <c r="AA98" i="1" s="1"/>
  <c r="Y49" i="1"/>
  <c r="AA49" i="1" s="1"/>
  <c r="Y202" i="1"/>
  <c r="AA202" i="1" s="1"/>
  <c r="BX297" i="1"/>
  <c r="BZ297" i="1" s="1"/>
  <c r="BX244" i="1"/>
  <c r="Y266" i="1"/>
  <c r="AA266" i="1" s="1"/>
  <c r="BX227" i="1"/>
  <c r="BZ227" i="1" s="1"/>
  <c r="AY203" i="1"/>
  <c r="BA203" i="1" s="1"/>
  <c r="AA207" i="1"/>
  <c r="Y132" i="1"/>
  <c r="AA132" i="1" s="1"/>
  <c r="Y66" i="1"/>
  <c r="AA66" i="1" s="1"/>
  <c r="BX48" i="1"/>
  <c r="BZ48" i="1" s="1"/>
  <c r="BX15" i="1"/>
  <c r="BZ15" i="1" s="1"/>
  <c r="BX41" i="1"/>
  <c r="Y251" i="1"/>
  <c r="AA251" i="1" s="1"/>
  <c r="BX191" i="1"/>
  <c r="BZ191" i="1" s="1"/>
  <c r="Y176" i="1"/>
  <c r="AA176" i="1" s="1"/>
  <c r="BX114" i="1"/>
  <c r="AY55" i="1"/>
  <c r="BA55" i="1" s="1"/>
  <c r="BX164" i="1"/>
  <c r="BZ164" i="1" s="1"/>
  <c r="AY124" i="1"/>
  <c r="BA124" i="1" s="1"/>
  <c r="BX81" i="1"/>
  <c r="BZ81" i="1" s="1"/>
  <c r="Y6" i="1"/>
  <c r="AA6" i="1" s="1"/>
  <c r="AY295" i="1"/>
  <c r="BA295" i="1" s="1"/>
  <c r="Y101" i="1"/>
  <c r="AA101" i="1" s="1"/>
  <c r="BX124" i="1"/>
  <c r="Y115" i="1"/>
  <c r="AA115" i="1" s="1"/>
  <c r="BX49" i="1"/>
  <c r="BZ49" i="1" s="1"/>
  <c r="AY177" i="1"/>
  <c r="BA177" i="1" s="1"/>
  <c r="AY243" i="1"/>
  <c r="BA243" i="1" s="1"/>
  <c r="AY329" i="1"/>
  <c r="BA329" i="1" s="1"/>
  <c r="BZ333" i="1"/>
  <c r="BX265" i="1"/>
  <c r="BZ265" i="1" s="1"/>
  <c r="Y306" i="1"/>
  <c r="AA306" i="1" s="1"/>
  <c r="BX293" i="1"/>
  <c r="BZ293" i="1" s="1"/>
  <c r="AY25" i="1"/>
  <c r="BA25" i="1" s="1"/>
  <c r="BA28" i="1"/>
  <c r="AY258" i="1"/>
  <c r="BA258" i="1" s="1"/>
  <c r="BA250" i="1"/>
  <c r="AY344" i="1"/>
  <c r="BA344" i="1" s="1"/>
  <c r="AY328" i="1"/>
  <c r="BA328" i="1" s="1"/>
  <c r="AY170" i="1"/>
  <c r="BA170" i="1" s="1"/>
  <c r="Y307" i="1"/>
  <c r="AA307" i="1" s="1"/>
  <c r="Y278" i="1"/>
  <c r="BX281" i="1"/>
  <c r="BZ281" i="1" s="1"/>
  <c r="Y255" i="1"/>
  <c r="AA255" i="1" s="1"/>
  <c r="BX245" i="1"/>
  <c r="BZ245" i="1" s="1"/>
  <c r="AY218" i="1"/>
  <c r="BA218" i="1" s="1"/>
  <c r="AA158" i="1"/>
  <c r="BX186" i="1"/>
  <c r="BZ186" i="1" s="1"/>
  <c r="BX127" i="1"/>
  <c r="BZ127" i="1" s="1"/>
  <c r="BX145" i="1"/>
  <c r="BA80" i="1"/>
  <c r="BX93" i="1"/>
  <c r="BZ93" i="1" s="1"/>
  <c r="BX88" i="1"/>
  <c r="BZ88" i="1" s="1"/>
  <c r="BX94" i="1"/>
  <c r="BZ94" i="1" s="1"/>
  <c r="AY179" i="1"/>
  <c r="BA179" i="1" s="1"/>
  <c r="AY31" i="1"/>
  <c r="BA31" i="1" s="1"/>
  <c r="BX23" i="1"/>
  <c r="BZ23" i="1" s="1"/>
  <c r="Y163" i="1"/>
  <c r="AA163" i="1" s="1"/>
  <c r="Y85" i="1"/>
  <c r="AA85" i="1" s="1"/>
  <c r="BX86" i="1"/>
  <c r="BZ86" i="1" s="1"/>
  <c r="AY224" i="1"/>
  <c r="BA224" i="1" s="1"/>
  <c r="BX51" i="1"/>
  <c r="BZ51" i="1" s="1"/>
  <c r="BX19" i="1"/>
  <c r="BZ19" i="1" s="1"/>
  <c r="BX7" i="1"/>
  <c r="BZ7" i="1" s="1"/>
  <c r="BH13" i="1"/>
  <c r="R5" i="5" s="1"/>
  <c r="S5" i="5" s="1"/>
  <c r="BX96" i="1"/>
  <c r="BZ96" i="1" s="1"/>
  <c r="BX254" i="1"/>
  <c r="BZ254" i="1" s="1"/>
  <c r="BA169" i="1"/>
  <c r="BX219" i="1"/>
  <c r="BZ219" i="1" s="1"/>
  <c r="AY231" i="1"/>
  <c r="BA231" i="1" s="1"/>
  <c r="Y211" i="1"/>
  <c r="AA211" i="1" s="1"/>
  <c r="Y152" i="1"/>
  <c r="AA152" i="1" s="1"/>
  <c r="Y210" i="1"/>
  <c r="AA210" i="1" s="1"/>
  <c r="BX228" i="1"/>
  <c r="BZ228" i="1" s="1"/>
  <c r="BX181" i="1"/>
  <c r="BZ181" i="1" s="1"/>
  <c r="BX325" i="1"/>
  <c r="BZ325" i="1" s="1"/>
  <c r="Y259" i="1"/>
  <c r="AA259" i="1" s="1"/>
  <c r="AY136" i="1"/>
  <c r="BA136" i="1" s="1"/>
  <c r="Y236" i="1"/>
  <c r="AA236" i="1" s="1"/>
  <c r="AY205" i="1"/>
  <c r="BA205" i="1" s="1"/>
  <c r="Y261" i="1"/>
  <c r="AA261" i="1" s="1"/>
  <c r="BX25" i="1"/>
  <c r="BZ25" i="1" s="1"/>
  <c r="BX339" i="1"/>
  <c r="BZ339" i="1" s="1"/>
  <c r="BF351" i="1"/>
  <c r="R3" i="5" s="1"/>
  <c r="AA292" i="1"/>
  <c r="Y296" i="1"/>
  <c r="AA296" i="1" s="1"/>
  <c r="AY39" i="1"/>
  <c r="BA39" i="1" s="1"/>
  <c r="AY313" i="1"/>
  <c r="BA313" i="1" s="1"/>
  <c r="AY285" i="1"/>
  <c r="BA285" i="1" s="1"/>
  <c r="AY279" i="1"/>
  <c r="BA279" i="1" s="1"/>
  <c r="AA347" i="1"/>
  <c r="AA275" i="1"/>
  <c r="AY219" i="1"/>
  <c r="BA219" i="1" s="1"/>
  <c r="BX334" i="1"/>
  <c r="BZ334" i="1" s="1"/>
  <c r="BX322" i="1"/>
  <c r="BZ322" i="1" s="1"/>
  <c r="AY187" i="1"/>
  <c r="BA187" i="1" s="1"/>
  <c r="CW35" i="1"/>
  <c r="AD9" i="5" s="1"/>
  <c r="AE9" i="5" s="1"/>
  <c r="Y220" i="1"/>
  <c r="AA220" i="1" s="1"/>
  <c r="BX119" i="1"/>
  <c r="BZ119" i="1" s="1"/>
  <c r="AY69" i="1"/>
  <c r="BA69" i="1" s="1"/>
  <c r="BX10" i="1"/>
  <c r="BZ10" i="1" s="1"/>
  <c r="AY60" i="1"/>
  <c r="BA60" i="1" s="1"/>
  <c r="Y69" i="1"/>
  <c r="AA69" i="1" s="1"/>
  <c r="BX91" i="1"/>
  <c r="BZ91" i="1" s="1"/>
  <c r="AY104" i="1"/>
  <c r="BA104" i="1" s="1"/>
  <c r="AY81" i="1"/>
  <c r="BA81" i="1" s="1"/>
  <c r="BX250" i="1"/>
  <c r="BZ250" i="1" s="1"/>
  <c r="AY9" i="1"/>
  <c r="BA9" i="1" s="1"/>
  <c r="AY23" i="1"/>
  <c r="BA23" i="1" s="1"/>
  <c r="AY333" i="1"/>
  <c r="BA333" i="1" s="1"/>
  <c r="BX308" i="1"/>
  <c r="BZ308" i="1" s="1"/>
  <c r="BX300" i="1"/>
  <c r="BZ300" i="1" s="1"/>
  <c r="BX330" i="1"/>
  <c r="BZ330" i="1" s="1"/>
  <c r="BX316" i="1"/>
  <c r="BZ316" i="1" s="1"/>
  <c r="BX263" i="1"/>
  <c r="BZ263" i="1" s="1"/>
  <c r="Y258" i="1"/>
  <c r="AA258" i="1" s="1"/>
  <c r="BX270" i="1"/>
  <c r="BZ270" i="1" s="1"/>
  <c r="BX258" i="1"/>
  <c r="BZ258" i="1" s="1"/>
  <c r="Y244" i="1"/>
  <c r="AA244" i="1" s="1"/>
  <c r="Y294" i="1"/>
  <c r="AA294" i="1" s="1"/>
  <c r="BX239" i="1"/>
  <c r="BZ239" i="1" s="1"/>
  <c r="Y237" i="1"/>
  <c r="AA237" i="1" s="1"/>
  <c r="BX225" i="1"/>
  <c r="BZ225" i="1" s="1"/>
  <c r="BA210" i="1"/>
  <c r="AY202" i="1"/>
  <c r="BA202" i="1" s="1"/>
  <c r="Y226" i="1"/>
  <c r="Y131" i="1"/>
  <c r="AA131" i="1" s="1"/>
  <c r="Y102" i="1"/>
  <c r="AA102" i="1" s="1"/>
  <c r="AY88" i="1"/>
  <c r="BA88" i="1" s="1"/>
  <c r="AY78" i="1"/>
  <c r="BA78" i="1" s="1"/>
  <c r="Y100" i="1"/>
  <c r="AA100" i="1" s="1"/>
  <c r="Y148" i="1"/>
  <c r="AA148" i="1" s="1"/>
  <c r="Y65" i="1"/>
  <c r="AA65" i="1" s="1"/>
  <c r="Y61" i="1"/>
  <c r="AA61" i="1" s="1"/>
  <c r="Y57" i="1"/>
  <c r="AA57" i="1" s="1"/>
  <c r="BX123" i="1"/>
  <c r="BZ123" i="1" s="1"/>
  <c r="Y83" i="1"/>
  <c r="AA83" i="1" s="1"/>
  <c r="Y71" i="1"/>
  <c r="AA71" i="1" s="1"/>
  <c r="BX31" i="1"/>
  <c r="Y73" i="1"/>
  <c r="AA73" i="1" s="1"/>
  <c r="Y42" i="1"/>
  <c r="AA42" i="1" s="1"/>
  <c r="AY50" i="1"/>
  <c r="BA50" i="1" s="1"/>
  <c r="J20" i="1"/>
  <c r="B7" i="5" s="1"/>
  <c r="C7" i="5" s="1"/>
  <c r="Y22" i="1"/>
  <c r="AA22" i="1" s="1"/>
  <c r="BW13" i="1"/>
  <c r="V5" i="5" s="1"/>
  <c r="W5" i="5" s="1"/>
  <c r="Y15" i="1"/>
  <c r="AA15" i="1" s="1"/>
  <c r="Y76" i="1"/>
  <c r="AA76" i="1" s="1"/>
  <c r="BX305" i="1"/>
  <c r="BZ305" i="1" s="1"/>
  <c r="Y269" i="1"/>
  <c r="AA269" i="1" s="1"/>
  <c r="BX216" i="1"/>
  <c r="BZ216" i="1" s="1"/>
  <c r="Y142" i="1"/>
  <c r="AA142" i="1" s="1"/>
  <c r="BX161" i="1"/>
  <c r="BZ161" i="1" s="1"/>
  <c r="BX167" i="1"/>
  <c r="BZ167" i="1" s="1"/>
  <c r="AY120" i="1"/>
  <c r="BA120" i="1" s="1"/>
  <c r="Y91" i="1"/>
  <c r="AA91" i="1" s="1"/>
  <c r="BX69" i="1"/>
  <c r="BZ69" i="1" s="1"/>
  <c r="Y31" i="1"/>
  <c r="AA31" i="1" s="1"/>
  <c r="Y109" i="1"/>
  <c r="AA109" i="1" s="1"/>
  <c r="BX11" i="1"/>
  <c r="BZ11" i="1" s="1"/>
  <c r="AQ13" i="1"/>
  <c r="L5" i="5" s="1"/>
  <c r="BX260" i="1"/>
  <c r="BZ260" i="1" s="1"/>
  <c r="BX311" i="1"/>
  <c r="BZ311" i="1" s="1"/>
  <c r="Y302" i="1"/>
  <c r="AA302" i="1" s="1"/>
  <c r="Y267" i="1"/>
  <c r="AA267" i="1" s="1"/>
  <c r="BX237" i="1"/>
  <c r="BZ237" i="1" s="1"/>
  <c r="AY267" i="1"/>
  <c r="BA267" i="1" s="1"/>
  <c r="AY318" i="1"/>
  <c r="BA318" i="1" s="1"/>
  <c r="BX306" i="1"/>
  <c r="BZ306" i="1" s="1"/>
  <c r="Y316" i="1"/>
  <c r="AA316" i="1" s="1"/>
  <c r="AY291" i="1"/>
  <c r="BA291" i="1" s="1"/>
  <c r="Y262" i="1"/>
  <c r="AA262" i="1" s="1"/>
  <c r="AY208" i="1"/>
  <c r="BA208" i="1" s="1"/>
  <c r="AY200" i="1"/>
  <c r="BA200" i="1" s="1"/>
  <c r="BX193" i="1"/>
  <c r="BZ193" i="1" s="1"/>
  <c r="BZ155" i="1"/>
  <c r="Y184" i="1"/>
  <c r="AA184" i="1" s="1"/>
  <c r="AA177" i="1"/>
  <c r="BX150" i="1"/>
  <c r="Y134" i="1"/>
  <c r="AA134" i="1" s="1"/>
  <c r="AY86" i="1"/>
  <c r="BA86" i="1" s="1"/>
  <c r="BX102" i="1"/>
  <c r="BZ102" i="1" s="1"/>
  <c r="AY99" i="1"/>
  <c r="BA99" i="1" s="1"/>
  <c r="Y47" i="1"/>
  <c r="AA47" i="1" s="1"/>
  <c r="BX53" i="1"/>
  <c r="CP35" i="1"/>
  <c r="AB9" i="5" s="1"/>
  <c r="AC9" i="5" s="1"/>
  <c r="Y24" i="1"/>
  <c r="AA24" i="1" s="1"/>
  <c r="Y19" i="1"/>
  <c r="AA19" i="1" s="1"/>
  <c r="BX32" i="1"/>
  <c r="BZ32" i="1" s="1"/>
  <c r="Y33" i="1"/>
  <c r="AA33" i="1" s="1"/>
  <c r="BX321" i="1"/>
  <c r="BZ321" i="1" s="1"/>
  <c r="BX301" i="1"/>
  <c r="BZ301" i="1" s="1"/>
  <c r="Y304" i="1"/>
  <c r="AA304" i="1" s="1"/>
  <c r="AY132" i="1"/>
  <c r="BA132" i="1" s="1"/>
  <c r="Y145" i="1"/>
  <c r="AA145" i="1" s="1"/>
  <c r="AY108" i="1"/>
  <c r="BA108" i="1" s="1"/>
  <c r="Y105" i="1"/>
  <c r="AA105" i="1" s="1"/>
  <c r="BP20" i="1"/>
  <c r="T7" i="5" s="1"/>
  <c r="U7" i="5" s="1"/>
  <c r="Y329" i="1"/>
  <c r="AA329" i="1" s="1"/>
  <c r="Y305" i="1"/>
  <c r="AA305" i="1" s="1"/>
  <c r="Y299" i="1"/>
  <c r="AA299" i="1" s="1"/>
  <c r="BX279" i="1"/>
  <c r="BZ279" i="1" s="1"/>
  <c r="BX249" i="1"/>
  <c r="BZ249" i="1" s="1"/>
  <c r="AY215" i="1"/>
  <c r="BA215" i="1" s="1"/>
  <c r="AY199" i="1"/>
  <c r="BA199" i="1" s="1"/>
  <c r="AY196" i="1"/>
  <c r="BA196" i="1" s="1"/>
  <c r="BX183" i="1"/>
  <c r="BZ183" i="1" s="1"/>
  <c r="BX188" i="1"/>
  <c r="BZ188" i="1" s="1"/>
  <c r="BX148" i="1"/>
  <c r="BZ148" i="1" s="1"/>
  <c r="BX129" i="1"/>
  <c r="BZ129" i="1" s="1"/>
  <c r="BX170" i="1"/>
  <c r="BZ170" i="1" s="1"/>
  <c r="BX113" i="1"/>
  <c r="BZ113" i="1" s="1"/>
  <c r="AY74" i="1"/>
  <c r="BA74" i="1" s="1"/>
  <c r="Y84" i="1"/>
  <c r="AA84" i="1" s="1"/>
  <c r="BX50" i="1"/>
  <c r="BZ50" i="1" s="1"/>
  <c r="BX46" i="1"/>
  <c r="BZ46" i="1" s="1"/>
  <c r="Y30" i="1"/>
  <c r="AA30" i="1" s="1"/>
  <c r="Y34" i="1"/>
  <c r="AA34" i="1" s="1"/>
  <c r="BP13" i="1"/>
  <c r="T5" i="5" s="1"/>
  <c r="U5" i="5" s="1"/>
  <c r="BA19" i="1"/>
  <c r="Y183" i="1"/>
  <c r="AA183" i="1" s="1"/>
  <c r="BX184" i="1"/>
  <c r="BZ184" i="1" s="1"/>
  <c r="AY118" i="1"/>
  <c r="BA118" i="1" s="1"/>
  <c r="BX312" i="1"/>
  <c r="BZ312" i="1" s="1"/>
  <c r="AA322" i="1"/>
  <c r="Y242" i="1"/>
  <c r="AA242" i="1" s="1"/>
  <c r="BZ244" i="1"/>
  <c r="AY211" i="1"/>
  <c r="BA211" i="1" s="1"/>
  <c r="Y194" i="1"/>
  <c r="AA194" i="1" s="1"/>
  <c r="BX176" i="1"/>
  <c r="BZ176" i="1" s="1"/>
  <c r="Y122" i="1"/>
  <c r="AA122" i="1" s="1"/>
  <c r="BZ142" i="1"/>
  <c r="BX100" i="1"/>
  <c r="BZ100" i="1" s="1"/>
  <c r="Y41" i="1"/>
  <c r="AA41" i="1" s="1"/>
  <c r="BZ41" i="1"/>
  <c r="BX235" i="1"/>
  <c r="BZ235" i="1" s="1"/>
  <c r="BX233" i="1"/>
  <c r="BZ233" i="1" s="1"/>
  <c r="Y190" i="1"/>
  <c r="AA190" i="1" s="1"/>
  <c r="BX199" i="1"/>
  <c r="BZ199" i="1" s="1"/>
  <c r="Y165" i="1"/>
  <c r="AA165" i="1" s="1"/>
  <c r="Y32" i="1"/>
  <c r="AA32" i="1" s="1"/>
  <c r="AY153" i="1"/>
  <c r="BA153" i="1" s="1"/>
  <c r="AY154" i="1"/>
  <c r="BA154" i="1" s="1"/>
  <c r="AY290" i="1"/>
  <c r="BA290" i="1" s="1"/>
  <c r="K9" i="5"/>
  <c r="BX318" i="1"/>
  <c r="BZ318" i="1" s="1"/>
  <c r="Y293" i="1"/>
  <c r="AA293" i="1" s="1"/>
  <c r="BX285" i="1"/>
  <c r="BZ285" i="1" s="1"/>
  <c r="BX307" i="1"/>
  <c r="BZ307" i="1" s="1"/>
  <c r="BX280" i="1"/>
  <c r="BZ280" i="1" s="1"/>
  <c r="BZ256" i="1"/>
  <c r="Y268" i="1"/>
  <c r="AA268" i="1" s="1"/>
  <c r="Y227" i="1"/>
  <c r="AA227" i="1" s="1"/>
  <c r="Y231" i="1"/>
  <c r="AA231" i="1" s="1"/>
  <c r="Y215" i="1"/>
  <c r="AA215" i="1" s="1"/>
  <c r="BX151" i="1"/>
  <c r="BZ151" i="1" s="1"/>
  <c r="BX143" i="1"/>
  <c r="BZ143" i="1" s="1"/>
  <c r="CI13" i="1"/>
  <c r="Z5" i="5" s="1"/>
  <c r="AY281" i="1"/>
  <c r="BA281" i="1" s="1"/>
  <c r="AY332" i="1"/>
  <c r="BA332" i="1" s="1"/>
  <c r="Y225" i="1"/>
  <c r="AA225" i="1" s="1"/>
  <c r="BX180" i="1"/>
  <c r="BZ180" i="1" s="1"/>
  <c r="BZ107" i="1"/>
  <c r="Y48" i="1"/>
  <c r="AA48" i="1" s="1"/>
  <c r="BX33" i="1"/>
  <c r="BZ33" i="1" s="1"/>
  <c r="BX328" i="1"/>
  <c r="BZ328" i="1" s="1"/>
  <c r="BA123" i="1"/>
  <c r="BX84" i="1"/>
  <c r="BZ84" i="1" s="1"/>
  <c r="BX78" i="1"/>
  <c r="BZ78" i="1" s="1"/>
  <c r="BX28" i="1"/>
  <c r="BZ28" i="1" s="1"/>
  <c r="AY242" i="1"/>
  <c r="BA242" i="1" s="1"/>
  <c r="AY143" i="1"/>
  <c r="BA143" i="1" s="1"/>
  <c r="AY166" i="1"/>
  <c r="BA166" i="1" s="1"/>
  <c r="Y270" i="1"/>
  <c r="AA270" i="1" s="1"/>
  <c r="BZ234" i="1"/>
  <c r="AY216" i="1"/>
  <c r="BA216" i="1" s="1"/>
  <c r="BX172" i="1"/>
  <c r="BZ172" i="1" s="1"/>
  <c r="BX98" i="1"/>
  <c r="BZ98" i="1" s="1"/>
  <c r="AY115" i="1"/>
  <c r="BA115" i="1" s="1"/>
  <c r="AY34" i="1"/>
  <c r="BA34" i="1" s="1"/>
  <c r="BX38" i="1"/>
  <c r="BZ38" i="1" s="1"/>
  <c r="BX338" i="1"/>
  <c r="BZ338" i="1" s="1"/>
  <c r="Y330" i="1"/>
  <c r="AA330" i="1" s="1"/>
  <c r="Y201" i="1"/>
  <c r="AA201" i="1" s="1"/>
  <c r="BX185" i="1"/>
  <c r="BZ185" i="1" s="1"/>
  <c r="BX210" i="1"/>
  <c r="BZ210" i="1" s="1"/>
  <c r="BX205" i="1"/>
  <c r="BZ205" i="1" s="1"/>
  <c r="BX85" i="1"/>
  <c r="BZ85" i="1" s="1"/>
  <c r="Y89" i="1"/>
  <c r="AA89" i="1" s="1"/>
  <c r="AY84" i="1"/>
  <c r="BA84" i="1" s="1"/>
  <c r="AY299" i="1"/>
  <c r="BA299" i="1" s="1"/>
  <c r="AY158" i="1"/>
  <c r="BA158" i="1" s="1"/>
  <c r="AY296" i="1"/>
  <c r="BA296" i="1" s="1"/>
  <c r="BX320" i="1"/>
  <c r="BZ320" i="1" s="1"/>
  <c r="Y238" i="1"/>
  <c r="AA238" i="1" s="1"/>
  <c r="AY232" i="1"/>
  <c r="BA232" i="1" s="1"/>
  <c r="Y228" i="1"/>
  <c r="AA228" i="1" s="1"/>
  <c r="BX136" i="1"/>
  <c r="BZ136" i="1" s="1"/>
  <c r="CP240" i="1"/>
  <c r="AB13" i="5" s="1"/>
  <c r="AC13" i="5" s="1"/>
  <c r="AY95" i="1"/>
  <c r="BA95" i="1" s="1"/>
  <c r="BX18" i="1"/>
  <c r="BZ18" i="1" s="1"/>
  <c r="Y38" i="1"/>
  <c r="AA38" i="1" s="1"/>
  <c r="BX347" i="1"/>
  <c r="BZ347" i="1" s="1"/>
  <c r="Y243" i="1"/>
  <c r="AA243" i="1" s="1"/>
  <c r="BX198" i="1"/>
  <c r="BZ198" i="1" s="1"/>
  <c r="Y166" i="1"/>
  <c r="AA166" i="1" s="1"/>
  <c r="Y179" i="1"/>
  <c r="AA179" i="1" s="1"/>
  <c r="AY76" i="1"/>
  <c r="BA76" i="1" s="1"/>
  <c r="AY140" i="1"/>
  <c r="BA140" i="1" s="1"/>
  <c r="AY184" i="1"/>
  <c r="BA184" i="1" s="1"/>
  <c r="AY266" i="1"/>
  <c r="BA266" i="1" s="1"/>
  <c r="H351" i="1"/>
  <c r="B3" i="5" s="1"/>
  <c r="AY27" i="1"/>
  <c r="BA27" i="1" s="1"/>
  <c r="AQ137" i="1"/>
  <c r="L11" i="5" s="1"/>
  <c r="M11" i="5" s="1"/>
  <c r="AY310" i="1"/>
  <c r="BA310" i="1" s="1"/>
  <c r="BX261" i="1"/>
  <c r="BZ261" i="1" s="1"/>
  <c r="Y252" i="1"/>
  <c r="AA252" i="1" s="1"/>
  <c r="BX168" i="1"/>
  <c r="BZ168" i="1" s="1"/>
  <c r="Y93" i="1"/>
  <c r="AA93" i="1" s="1"/>
  <c r="BX24" i="1"/>
  <c r="BZ24" i="1" s="1"/>
  <c r="Y219" i="1"/>
  <c r="AA219" i="1" s="1"/>
  <c r="Y216" i="1"/>
  <c r="AA216" i="1" s="1"/>
  <c r="Y196" i="1"/>
  <c r="AA196" i="1" s="1"/>
  <c r="AY127" i="1"/>
  <c r="BA127" i="1" s="1"/>
  <c r="AF8" i="5"/>
  <c r="BZ248" i="1"/>
  <c r="AY6" i="1"/>
  <c r="BA6" i="1" s="1"/>
  <c r="BX335" i="1"/>
  <c r="BZ335" i="1" s="1"/>
  <c r="AY284" i="1"/>
  <c r="BA284" i="1" s="1"/>
  <c r="BX278" i="1"/>
  <c r="BZ278" i="1" s="1"/>
  <c r="BA238" i="1"/>
  <c r="BX131" i="1"/>
  <c r="BZ131" i="1" s="1"/>
  <c r="Y56" i="1"/>
  <c r="AA56" i="1" s="1"/>
  <c r="BA65" i="1"/>
  <c r="Y327" i="1"/>
  <c r="AA327" i="1" s="1"/>
  <c r="Y208" i="1"/>
  <c r="AA208" i="1" s="1"/>
  <c r="AY89" i="1"/>
  <c r="BA89" i="1" s="1"/>
  <c r="BZ82" i="1"/>
  <c r="Y17" i="1"/>
  <c r="AA17" i="1" s="1"/>
  <c r="BX251" i="1"/>
  <c r="BZ251" i="1" s="1"/>
  <c r="BX310" i="1"/>
  <c r="BZ310" i="1" s="1"/>
  <c r="BX238" i="1"/>
  <c r="BZ238" i="1" s="1"/>
  <c r="X8" i="5"/>
  <c r="AY274" i="1"/>
  <c r="BA274" i="1" s="1"/>
  <c r="P17" i="5"/>
  <c r="BA317" i="1"/>
  <c r="Y334" i="1"/>
  <c r="AA334" i="1" s="1"/>
  <c r="Y191" i="1"/>
  <c r="AA191" i="1" s="1"/>
  <c r="BZ218" i="1"/>
  <c r="BX215" i="1"/>
  <c r="BZ215" i="1" s="1"/>
  <c r="Y164" i="1"/>
  <c r="AA164" i="1" s="1"/>
  <c r="AY113" i="1"/>
  <c r="BA113" i="1" s="1"/>
  <c r="AY273" i="1"/>
  <c r="BA273" i="1" s="1"/>
  <c r="AY334" i="1"/>
  <c r="BA334" i="1" s="1"/>
  <c r="AY347" i="1"/>
  <c r="BA347" i="1" s="1"/>
  <c r="CN351" i="1"/>
  <c r="AB3" i="5" s="1"/>
  <c r="G3" i="5"/>
  <c r="Y96" i="1"/>
  <c r="AA96" i="1" s="1"/>
  <c r="BX56" i="1"/>
  <c r="BZ56" i="1" s="1"/>
  <c r="BX224" i="1"/>
  <c r="BZ224" i="1" s="1"/>
  <c r="BZ209" i="1"/>
  <c r="BX163" i="1"/>
  <c r="BZ163" i="1" s="1"/>
  <c r="Y51" i="1"/>
  <c r="AA51" i="1" s="1"/>
  <c r="AH8" i="5"/>
  <c r="BX317" i="1"/>
  <c r="BZ317" i="1" s="1"/>
  <c r="BZ337" i="1"/>
  <c r="BX299" i="1"/>
  <c r="BZ299" i="1" s="1"/>
  <c r="AY293" i="1"/>
  <c r="BA293" i="1" s="1"/>
  <c r="Y253" i="1"/>
  <c r="AA253" i="1" s="1"/>
  <c r="AY198" i="1"/>
  <c r="BA198" i="1" s="1"/>
  <c r="AY268" i="1"/>
  <c r="BA268" i="1" s="1"/>
  <c r="AY135" i="1"/>
  <c r="BA135" i="1" s="1"/>
  <c r="AY109" i="1"/>
  <c r="BA109" i="1" s="1"/>
  <c r="BZ114" i="1"/>
  <c r="AY54" i="1"/>
  <c r="BA54" i="1" s="1"/>
  <c r="Y12" i="1"/>
  <c r="AA12" i="1" s="1"/>
  <c r="J4" i="5"/>
  <c r="AY298" i="1"/>
  <c r="BA298" i="1" s="1"/>
  <c r="AY301" i="1"/>
  <c r="BA301" i="1" s="1"/>
  <c r="AY248" i="1"/>
  <c r="BA248" i="1" s="1"/>
  <c r="AY346" i="1"/>
  <c r="BA346" i="1" s="1"/>
  <c r="AY330" i="1"/>
  <c r="BA330" i="1" s="1"/>
  <c r="AA291" i="1"/>
  <c r="CX137" i="1"/>
  <c r="Y246" i="1"/>
  <c r="AA246" i="1" s="1"/>
  <c r="Y144" i="1"/>
  <c r="AA144" i="1" s="1"/>
  <c r="AY319" i="1"/>
  <c r="BA319" i="1" s="1"/>
  <c r="AI137" i="1"/>
  <c r="J11" i="5" s="1"/>
  <c r="K11" i="5" s="1"/>
  <c r="AY305" i="1"/>
  <c r="BA305" i="1" s="1"/>
  <c r="AY302" i="1"/>
  <c r="BA302" i="1" s="1"/>
  <c r="AY264" i="1"/>
  <c r="BA264" i="1" s="1"/>
  <c r="AA338" i="1"/>
  <c r="BZ332" i="1"/>
  <c r="AY182" i="1"/>
  <c r="BA182" i="1" s="1"/>
  <c r="AA290" i="1"/>
  <c r="BZ289" i="1"/>
  <c r="Y277" i="1"/>
  <c r="AA277" i="1" s="1"/>
  <c r="BX253" i="1"/>
  <c r="BZ253" i="1" s="1"/>
  <c r="AY192" i="1"/>
  <c r="BA192" i="1" s="1"/>
  <c r="BZ75" i="1"/>
  <c r="BX65" i="1"/>
  <c r="BZ65" i="1" s="1"/>
  <c r="BX61" i="1"/>
  <c r="BZ61" i="1" s="1"/>
  <c r="BX57" i="1"/>
  <c r="BZ57" i="1" s="1"/>
  <c r="Y78" i="1"/>
  <c r="AA78" i="1" s="1"/>
  <c r="Y53" i="1"/>
  <c r="AA53" i="1" s="1"/>
  <c r="AY107" i="1"/>
  <c r="BA107" i="1" s="1"/>
  <c r="AY33" i="1"/>
  <c r="BA33" i="1" s="1"/>
  <c r="AY12" i="1"/>
  <c r="BA12" i="1" s="1"/>
  <c r="CW13" i="1"/>
  <c r="AD5" i="5" s="1"/>
  <c r="AE5" i="5" s="1"/>
  <c r="Y44" i="1"/>
  <c r="AA44" i="1" s="1"/>
  <c r="Y27" i="1"/>
  <c r="AA27" i="1" s="1"/>
  <c r="AY49" i="1"/>
  <c r="BA49" i="1" s="1"/>
  <c r="AY117" i="1"/>
  <c r="BA117" i="1" s="1"/>
  <c r="CP13" i="1"/>
  <c r="AB5" i="5" s="1"/>
  <c r="AC5" i="5" s="1"/>
  <c r="BX304" i="1"/>
  <c r="BZ304" i="1" s="1"/>
  <c r="Y332" i="1"/>
  <c r="AA332" i="1" s="1"/>
  <c r="AY283" i="1"/>
  <c r="BA283" i="1" s="1"/>
  <c r="Y256" i="1"/>
  <c r="AA256" i="1" s="1"/>
  <c r="BX255" i="1"/>
  <c r="BZ255" i="1" s="1"/>
  <c r="BA239" i="1"/>
  <c r="BA201" i="1"/>
  <c r="AA180" i="1"/>
  <c r="Y185" i="1"/>
  <c r="AA185" i="1" s="1"/>
  <c r="BX162" i="1"/>
  <c r="BZ162" i="1" s="1"/>
  <c r="Y151" i="1"/>
  <c r="AA151" i="1" s="1"/>
  <c r="BX189" i="1"/>
  <c r="BZ189" i="1" s="1"/>
  <c r="AY94" i="1"/>
  <c r="BA94" i="1" s="1"/>
  <c r="BZ89" i="1"/>
  <c r="CI137" i="1"/>
  <c r="Z11" i="5" s="1"/>
  <c r="AA11" i="5" s="1"/>
  <c r="CX20" i="1"/>
  <c r="BX213" i="1"/>
  <c r="BZ213" i="1" s="1"/>
  <c r="AY116" i="1"/>
  <c r="BA116" i="1" s="1"/>
  <c r="AY77" i="1"/>
  <c r="BA77" i="1" s="1"/>
  <c r="Y159" i="1"/>
  <c r="AA159" i="1" s="1"/>
  <c r="Y178" i="1"/>
  <c r="AA178" i="1" s="1"/>
  <c r="Y206" i="1"/>
  <c r="AA206" i="1" s="1"/>
  <c r="AA336" i="1"/>
  <c r="BZ290" i="1"/>
  <c r="BZ291" i="1"/>
  <c r="AA263" i="1"/>
  <c r="BZ276" i="1"/>
  <c r="AY217" i="1"/>
  <c r="BA217" i="1" s="1"/>
  <c r="AY195" i="1"/>
  <c r="BA195" i="1" s="1"/>
  <c r="Y143" i="1"/>
  <c r="AA143" i="1" s="1"/>
  <c r="BX133" i="1"/>
  <c r="BZ133" i="1" s="1"/>
  <c r="Y193" i="1"/>
  <c r="AA193" i="1" s="1"/>
  <c r="Y103" i="1"/>
  <c r="AA103" i="1" s="1"/>
  <c r="Y149" i="1"/>
  <c r="AA39" i="1"/>
  <c r="Y86" i="1"/>
  <c r="AA86" i="1" s="1"/>
  <c r="BA92" i="1"/>
  <c r="Y46" i="1"/>
  <c r="AA46" i="1" s="1"/>
  <c r="X13" i="1"/>
  <c r="F5" i="5" s="1"/>
  <c r="G5" i="5" s="1"/>
  <c r="BZ42" i="1"/>
  <c r="BX329" i="1"/>
  <c r="BZ329" i="1" s="1"/>
  <c r="BX295" i="1"/>
  <c r="BZ295" i="1" s="1"/>
  <c r="AA312" i="1"/>
  <c r="AY133" i="1"/>
  <c r="BA133" i="1" s="1"/>
  <c r="Y140" i="1"/>
  <c r="AA140" i="1" s="1"/>
  <c r="BX26" i="1"/>
  <c r="BZ26" i="1" s="1"/>
  <c r="AY71" i="1"/>
  <c r="BA71" i="1" s="1"/>
  <c r="AY57" i="1"/>
  <c r="BA57" i="1" s="1"/>
  <c r="Y309" i="1"/>
  <c r="AA309" i="1" s="1"/>
  <c r="Y301" i="1"/>
  <c r="AA301" i="1" s="1"/>
  <c r="Y295" i="1"/>
  <c r="AA295" i="1" s="1"/>
  <c r="AA254" i="1"/>
  <c r="BZ262" i="1"/>
  <c r="BX226" i="1"/>
  <c r="BZ226" i="1" s="1"/>
  <c r="BA181" i="1"/>
  <c r="AY193" i="1"/>
  <c r="BA193" i="1" s="1"/>
  <c r="BZ160" i="1"/>
  <c r="Q240" i="1"/>
  <c r="D13" i="5" s="1"/>
  <c r="E13" i="5" s="1"/>
  <c r="Y129" i="1"/>
  <c r="AA129" i="1" s="1"/>
  <c r="BX152" i="1"/>
  <c r="BZ152" i="1" s="1"/>
  <c r="AY72" i="1"/>
  <c r="BA72" i="1" s="1"/>
  <c r="BW240" i="1"/>
  <c r="V13" i="5" s="1"/>
  <c r="W13" i="5" s="1"/>
  <c r="BA93" i="1"/>
  <c r="BA79" i="1"/>
  <c r="AY111" i="1"/>
  <c r="BA111" i="1" s="1"/>
  <c r="BX44" i="1"/>
  <c r="BZ44" i="1" s="1"/>
  <c r="CX35" i="1"/>
  <c r="Y72" i="1"/>
  <c r="AA72" i="1" s="1"/>
  <c r="Y79" i="1"/>
  <c r="AA79" i="1" s="1"/>
  <c r="AY47" i="1"/>
  <c r="BA47" i="1" s="1"/>
  <c r="Y9" i="1"/>
  <c r="AA9" i="1" s="1"/>
  <c r="BX319" i="1"/>
  <c r="BZ319" i="1" s="1"/>
  <c r="Y308" i="1"/>
  <c r="AA308" i="1" s="1"/>
  <c r="Y157" i="1"/>
  <c r="AA157" i="1" s="1"/>
  <c r="Y168" i="1"/>
  <c r="AA168" i="1" s="1"/>
  <c r="AY52" i="1"/>
  <c r="BA52" i="1" s="1"/>
  <c r="Y289" i="1"/>
  <c r="AA289" i="1" s="1"/>
  <c r="BX323" i="1"/>
  <c r="BZ323" i="1" s="1"/>
  <c r="BX269" i="1"/>
  <c r="BZ269" i="1" s="1"/>
  <c r="AA278" i="1"/>
  <c r="AY207" i="1"/>
  <c r="BA207" i="1" s="1"/>
  <c r="BZ103" i="1"/>
  <c r="BA82" i="1"/>
  <c r="CW137" i="1"/>
  <c r="AD11" i="5" s="1"/>
  <c r="AE11" i="5" s="1"/>
  <c r="AA90" i="1"/>
  <c r="Q20" i="1"/>
  <c r="D7" i="5" s="1"/>
  <c r="E7" i="5" s="1"/>
  <c r="BX8" i="1"/>
  <c r="BZ8" i="1" s="1"/>
  <c r="Y328" i="1"/>
  <c r="AA328" i="1" s="1"/>
  <c r="BZ344" i="1"/>
  <c r="AY87" i="1"/>
  <c r="BA87" i="1" s="1"/>
  <c r="AF14" i="5"/>
  <c r="AA121" i="1"/>
  <c r="BB353" i="1"/>
  <c r="R15" i="5" s="1"/>
  <c r="R4" i="5"/>
  <c r="BZ54" i="1"/>
  <c r="K353" i="1"/>
  <c r="D15" i="5" s="1"/>
  <c r="AY275" i="1"/>
  <c r="BA275" i="1" s="1"/>
  <c r="Y284" i="1"/>
  <c r="AA284" i="1" s="1"/>
  <c r="BZ283" i="1"/>
  <c r="BZ124" i="1"/>
  <c r="BX64" i="1"/>
  <c r="BZ64" i="1" s="1"/>
  <c r="BX60" i="1"/>
  <c r="BZ60" i="1" s="1"/>
  <c r="AF12" i="5"/>
  <c r="BA63" i="1"/>
  <c r="X12" i="5"/>
  <c r="X10" i="5"/>
  <c r="BZ43" i="1"/>
  <c r="BW137" i="1"/>
  <c r="V11" i="5" s="1"/>
  <c r="W11" i="5" s="1"/>
  <c r="J137" i="1"/>
  <c r="B11" i="5" s="1"/>
  <c r="C11" i="5" s="1"/>
  <c r="X137" i="1"/>
  <c r="F11" i="5" s="1"/>
  <c r="G11" i="5" s="1"/>
  <c r="BA287" i="1"/>
  <c r="BZ314" i="1"/>
  <c r="Y153" i="1"/>
  <c r="AA153" i="1" s="1"/>
  <c r="BA102" i="1"/>
  <c r="BH137" i="1"/>
  <c r="R11" i="5" s="1"/>
  <c r="P14" i="5"/>
  <c r="BA331" i="1"/>
  <c r="BZ340" i="1"/>
  <c r="AA288" i="1"/>
  <c r="BA228" i="1"/>
  <c r="BZ150" i="1"/>
  <c r="AA110" i="1"/>
  <c r="Y64" i="1"/>
  <c r="AA64" i="1" s="1"/>
  <c r="Y60" i="1"/>
  <c r="AA60" i="1" s="1"/>
  <c r="BZ134" i="1"/>
  <c r="BA103" i="1"/>
  <c r="BA62" i="1"/>
  <c r="BW35" i="1"/>
  <c r="V9" i="5" s="1"/>
  <c r="W9" i="5" s="1"/>
  <c r="Q137" i="1"/>
  <c r="D11" i="5" s="1"/>
  <c r="E11" i="5" s="1"/>
  <c r="AI20" i="1"/>
  <c r="J7" i="5" s="1"/>
  <c r="K7" i="5" s="1"/>
  <c r="AI13" i="1"/>
  <c r="J5" i="5" s="1"/>
  <c r="K5" i="5" s="1"/>
  <c r="AA257" i="1"/>
  <c r="CX13" i="1"/>
  <c r="CZ5" i="1"/>
  <c r="X14" i="5"/>
  <c r="AY146" i="1"/>
  <c r="BA146" i="1" s="1"/>
  <c r="BZ331" i="1"/>
  <c r="BX298" i="1"/>
  <c r="BZ298" i="1" s="1"/>
  <c r="BX242" i="1"/>
  <c r="BZ242" i="1" s="1"/>
  <c r="BX223" i="1"/>
  <c r="BZ223" i="1" s="1"/>
  <c r="BA188" i="1"/>
  <c r="BP240" i="1"/>
  <c r="T13" i="5" s="1"/>
  <c r="U13" i="5" s="1"/>
  <c r="AI240" i="1"/>
  <c r="J13" i="5" s="1"/>
  <c r="K13" i="5" s="1"/>
  <c r="AA135" i="1"/>
  <c r="BX67" i="1"/>
  <c r="BZ67" i="1" s="1"/>
  <c r="BX63" i="1"/>
  <c r="BZ63" i="1" s="1"/>
  <c r="BX59" i="1"/>
  <c r="BZ59" i="1" s="1"/>
  <c r="BX55" i="1"/>
  <c r="BZ55" i="1" s="1"/>
  <c r="AA54" i="1"/>
  <c r="BZ118" i="1"/>
  <c r="AA81" i="1"/>
  <c r="BA68" i="1"/>
  <c r="BA98" i="1"/>
  <c r="CP137" i="1"/>
  <c r="AB11" i="5" s="1"/>
  <c r="J35" i="1"/>
  <c r="B9" i="5" s="1"/>
  <c r="C9" i="5" s="1"/>
  <c r="CI20" i="1"/>
  <c r="Z7" i="5" s="1"/>
  <c r="CI35" i="1"/>
  <c r="Z9" i="5" s="1"/>
  <c r="AA9" i="5" s="1"/>
  <c r="CZ15" i="1"/>
  <c r="Y16" i="1"/>
  <c r="AA16" i="1" s="1"/>
  <c r="Q348" i="1"/>
  <c r="X240" i="1"/>
  <c r="F13" i="5" s="1"/>
  <c r="G13" i="5" s="1"/>
  <c r="BZ53" i="1"/>
  <c r="AY289" i="1"/>
  <c r="BA289" i="1" s="1"/>
  <c r="Z4" i="5"/>
  <c r="CB353" i="1"/>
  <c r="Z15" i="5" s="1"/>
  <c r="T4" i="5"/>
  <c r="BI353" i="1"/>
  <c r="T15" i="5" s="1"/>
  <c r="Y276" i="1"/>
  <c r="AA276" i="1" s="1"/>
  <c r="AB17" i="5"/>
  <c r="AF17" i="5" s="1"/>
  <c r="CP349" i="1"/>
  <c r="R3" i="2" s="1"/>
  <c r="BX222" i="1"/>
  <c r="BZ222" i="1" s="1"/>
  <c r="AA226" i="1"/>
  <c r="BA191" i="1"/>
  <c r="CI240" i="1"/>
  <c r="Z13" i="5" s="1"/>
  <c r="AA13" i="5" s="1"/>
  <c r="AQ240" i="1"/>
  <c r="L13" i="5" s="1"/>
  <c r="M13" i="5" s="1"/>
  <c r="BZ121" i="1"/>
  <c r="BZ130" i="1"/>
  <c r="BX144" i="1"/>
  <c r="BZ144" i="1" s="1"/>
  <c r="BZ104" i="1"/>
  <c r="BX139" i="1"/>
  <c r="BZ139" i="1" s="1"/>
  <c r="Q35" i="1"/>
  <c r="D9" i="5" s="1"/>
  <c r="BP35" i="1"/>
  <c r="T9" i="5" s="1"/>
  <c r="U9" i="5" s="1"/>
  <c r="X20" i="1"/>
  <c r="F7" i="5" s="1"/>
  <c r="G7" i="5" s="1"/>
  <c r="AF10" i="5"/>
  <c r="AF6" i="5"/>
  <c r="V4" i="5"/>
  <c r="BQ353" i="1"/>
  <c r="V15" i="5" s="1"/>
  <c r="Y319" i="1"/>
  <c r="AA319" i="1" s="1"/>
  <c r="H14" i="5"/>
  <c r="BZ99" i="1"/>
  <c r="BH35" i="1"/>
  <c r="R9" i="5" s="1"/>
  <c r="S9" i="5" s="1"/>
  <c r="BX22" i="1"/>
  <c r="BZ22" i="1" s="1"/>
  <c r="BZ45" i="1"/>
  <c r="AA28" i="1"/>
  <c r="BA38" i="1"/>
  <c r="BA321" i="1"/>
  <c r="CU351" i="1"/>
  <c r="AD3" i="5" s="1"/>
  <c r="BX275" i="1"/>
  <c r="BZ275" i="1" s="1"/>
  <c r="AA264" i="1"/>
  <c r="AA229" i="1"/>
  <c r="BX221" i="1"/>
  <c r="BZ221" i="1" s="1"/>
  <c r="AA221" i="1"/>
  <c r="BZ135" i="1"/>
  <c r="AA120" i="1"/>
  <c r="BA91" i="1"/>
  <c r="AA119" i="1"/>
  <c r="BP137" i="1"/>
  <c r="T11" i="5" s="1"/>
  <c r="U11" i="5" s="1"/>
  <c r="BA59" i="1"/>
  <c r="BH240" i="1"/>
  <c r="R13" i="5" s="1"/>
  <c r="S13" i="5" s="1"/>
  <c r="BZ31" i="1"/>
  <c r="BW20" i="1"/>
  <c r="V7" i="5" s="1"/>
  <c r="W7" i="5" s="1"/>
  <c r="AQ35" i="1"/>
  <c r="L9" i="5" s="1"/>
  <c r="M9" i="5" s="1"/>
  <c r="N6" i="5"/>
  <c r="L6" i="5"/>
  <c r="BX5" i="1"/>
  <c r="BZ116" i="1"/>
  <c r="BX20" i="1"/>
  <c r="AD4" i="5"/>
  <c r="CQ353" i="1"/>
  <c r="AD15" i="5" s="1"/>
  <c r="BZ272" i="1"/>
  <c r="J240" i="1"/>
  <c r="B13" i="5" s="1"/>
  <c r="Y139" i="1"/>
  <c r="AA139" i="1" s="1"/>
  <c r="BZ125" i="1"/>
  <c r="AA333" i="1"/>
  <c r="BX302" i="1"/>
  <c r="BZ302" i="1" s="1"/>
  <c r="Y317" i="1"/>
  <c r="AA317" i="1" s="1"/>
  <c r="Y274" i="1"/>
  <c r="AA274" i="1" s="1"/>
  <c r="AA271" i="1"/>
  <c r="BZ259" i="1"/>
  <c r="BA235" i="1"/>
  <c r="CX240" i="1"/>
  <c r="AA224" i="1"/>
  <c r="BZ145" i="1"/>
  <c r="BZ126" i="1"/>
  <c r="CW240" i="1"/>
  <c r="AD13" i="5" s="1"/>
  <c r="AE13" i="5" s="1"/>
  <c r="AA149" i="1"/>
  <c r="BA101" i="1"/>
  <c r="H12" i="5"/>
  <c r="BZ66" i="1"/>
  <c r="BA66" i="1"/>
  <c r="CZ30" i="1"/>
  <c r="L4" i="5"/>
  <c r="AJ353" i="1"/>
  <c r="L15" i="5" s="1"/>
  <c r="BA24" i="1"/>
  <c r="P8" i="5"/>
  <c r="T3" i="2"/>
  <c r="U3" i="2" s="1"/>
  <c r="AX13" i="1"/>
  <c r="N5" i="5" s="1"/>
  <c r="W3" i="2"/>
  <c r="J348" i="1"/>
  <c r="Y344" i="1"/>
  <c r="AA344" i="1" s="1"/>
  <c r="Y10" i="1"/>
  <c r="AA10" i="1" s="1"/>
  <c r="Q13" i="1"/>
  <c r="D5" i="5" s="1"/>
  <c r="E5" i="5" s="1"/>
  <c r="BA16" i="1"/>
  <c r="AX35" i="1"/>
  <c r="N9" i="5" s="1"/>
  <c r="H6" i="5"/>
  <c r="J13" i="1"/>
  <c r="B5" i="5" s="1"/>
  <c r="B4" i="5"/>
  <c r="C353" i="1"/>
  <c r="B15" i="5" s="1"/>
  <c r="BA303" i="1"/>
  <c r="AX240" i="1"/>
  <c r="N13" i="5" s="1"/>
  <c r="AH14" i="5"/>
  <c r="AY37" i="1"/>
  <c r="BA37" i="1" s="1"/>
  <c r="AX137" i="1"/>
  <c r="N11" i="5" s="1"/>
  <c r="O11" i="5" s="1"/>
  <c r="P12" i="5"/>
  <c r="AH12" i="5"/>
  <c r="AV351" i="1"/>
  <c r="N3" i="5" s="1"/>
  <c r="AH10" i="5"/>
  <c r="P10" i="5"/>
  <c r="N4" i="5"/>
  <c r="AY15" i="1"/>
  <c r="AX20" i="1"/>
  <c r="N7" i="5" s="1"/>
  <c r="X3" i="2"/>
  <c r="AB3" i="2"/>
  <c r="P16" i="5" s="1"/>
  <c r="K3" i="5" l="1"/>
  <c r="U3" i="5"/>
  <c r="W3" i="5"/>
  <c r="M3" i="5"/>
  <c r="P3" i="5"/>
  <c r="AB7" i="5"/>
  <c r="AC7" i="5" s="1"/>
  <c r="AC3" i="5"/>
  <c r="X3" i="5"/>
  <c r="H3" i="5"/>
  <c r="BX35" i="1"/>
  <c r="AY13" i="1"/>
  <c r="Y20" i="1"/>
  <c r="X5" i="5"/>
  <c r="Y5" i="5" s="1"/>
  <c r="AY240" i="1"/>
  <c r="AF11" i="5"/>
  <c r="AG11" i="5" s="1"/>
  <c r="Y35" i="1"/>
  <c r="AF5" i="5"/>
  <c r="AG5" i="5" s="1"/>
  <c r="AF9" i="5"/>
  <c r="AG9" i="5" s="1"/>
  <c r="Y240" i="1"/>
  <c r="P5" i="5"/>
  <c r="AA5" i="5"/>
  <c r="BX137" i="1"/>
  <c r="AY35" i="1"/>
  <c r="BX240" i="1"/>
  <c r="X7" i="5"/>
  <c r="Y7" i="5" s="1"/>
  <c r="AF3" i="5"/>
  <c r="AC11" i="5"/>
  <c r="H9" i="5"/>
  <c r="I9" i="5" s="1"/>
  <c r="X11" i="5"/>
  <c r="Y11" i="5" s="1"/>
  <c r="Y137" i="1"/>
  <c r="AY137" i="1"/>
  <c r="P13" i="5"/>
  <c r="Q13" i="5" s="1"/>
  <c r="AH15" i="5"/>
  <c r="BX13" i="1"/>
  <c r="BZ5" i="1"/>
  <c r="X9" i="5"/>
  <c r="Y9" i="5" s="1"/>
  <c r="AA7" i="5"/>
  <c r="X4" i="5"/>
  <c r="S3" i="5"/>
  <c r="AE3" i="5"/>
  <c r="M5" i="5"/>
  <c r="P6" i="5"/>
  <c r="AF4" i="5"/>
  <c r="AA3" i="5"/>
  <c r="H11" i="5"/>
  <c r="I11" i="5" s="1"/>
  <c r="S11" i="5"/>
  <c r="AH6" i="5"/>
  <c r="E9" i="5"/>
  <c r="AF13" i="5"/>
  <c r="AG13" i="5" s="1"/>
  <c r="AD3" i="2"/>
  <c r="AF16" i="5" s="1"/>
  <c r="AH16" i="5" s="1"/>
  <c r="Y3" i="2"/>
  <c r="H7" i="5"/>
  <c r="I7" i="5" s="1"/>
  <c r="AH9" i="5"/>
  <c r="AI9" i="5" s="1"/>
  <c r="H13" i="5"/>
  <c r="I13" i="5" s="1"/>
  <c r="X13" i="5"/>
  <c r="Y13" i="5" s="1"/>
  <c r="C13" i="5"/>
  <c r="Y13" i="1"/>
  <c r="O5" i="5"/>
  <c r="O9" i="5"/>
  <c r="P9" i="5"/>
  <c r="Q9" i="5" s="1"/>
  <c r="C3" i="5"/>
  <c r="H4" i="5"/>
  <c r="C5" i="5"/>
  <c r="H5" i="5"/>
  <c r="I5" i="5" s="1"/>
  <c r="AH5" i="5"/>
  <c r="O13" i="5"/>
  <c r="AH13" i="5"/>
  <c r="AI13" i="5" s="1"/>
  <c r="O3" i="5"/>
  <c r="AH3" i="5"/>
  <c r="AH11" i="5"/>
  <c r="AI11" i="5" s="1"/>
  <c r="P11" i="5"/>
  <c r="Q11" i="5" s="1"/>
  <c r="P4" i="5"/>
  <c r="AH4" i="5"/>
  <c r="P7" i="5"/>
  <c r="Q7" i="5" s="1"/>
  <c r="O7" i="5"/>
  <c r="AY20" i="1"/>
  <c r="BA15" i="1"/>
  <c r="AH7" i="5" l="1"/>
  <c r="AI7" i="5" s="1"/>
  <c r="AF7" i="5"/>
  <c r="AG7" i="5" s="1"/>
  <c r="Y3" i="5"/>
  <c r="Q3" i="5"/>
  <c r="I3" i="5"/>
  <c r="AG3" i="5"/>
  <c r="Q5" i="5"/>
  <c r="AI5" i="5"/>
  <c r="AI3" i="5"/>
</calcChain>
</file>

<file path=xl/sharedStrings.xml><?xml version="1.0" encoding="utf-8"?>
<sst xmlns="http://schemas.openxmlformats.org/spreadsheetml/2006/main" count="224" uniqueCount="147">
  <si>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</si>
  <si>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</si>
  <si>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</si>
  <si>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</si>
  <si>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</si>
  <si>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</si>
  <si>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</si>
  <si>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</si>
  <si>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</si>
  <si>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</si>
  <si>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</si>
  <si>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</si>
  <si>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Members</t>
  </si>
  <si>
    <t>Contact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</si>
  <si>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</si>
  <si>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</si>
  <si>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</si>
  <si>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</si>
  <si>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</si>
  <si>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</si>
  <si>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</si>
  <si>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</si>
  <si>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</si>
  <si>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</si>
  <si>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</si>
  <si>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</si>
  <si>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</si>
  <si>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</si>
  <si>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</si>
  <si>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</si>
  <si>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</si>
  <si>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</si>
  <si>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</si>
  <si>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</si>
  <si>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</si>
  <si>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</si>
  <si>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</si>
  <si>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</si>
  <si>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</si>
  <si>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</si>
  <si>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</si>
  <si>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</si>
  <si>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</si>
  <si>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</si>
  <si>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</si>
  <si>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</si>
  <si>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</si>
  <si>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</si>
  <si>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</si>
  <si>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</si>
  <si>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</si>
  <si>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</si>
  <si>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</si>
  <si>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</si>
  <si>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</si>
  <si>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</si>
  <si>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</si>
  <si>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</si>
  <si>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</si>
  <si>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</si>
  <si>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</si>
  <si>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</si>
  <si>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</si>
  <si>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</si>
  <si>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</si>
  <si>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</si>
  <si>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Leaders</t>
  </si>
  <si>
    <t>Present</t>
  </si>
  <si>
    <t>Absent</t>
  </si>
  <si>
    <t>PA</t>
  </si>
  <si>
    <t>TOTAL PA</t>
  </si>
  <si>
    <t>Qtr Att</t>
  </si>
  <si>
    <t>Qtr %</t>
  </si>
  <si>
    <t>Intense</t>
  </si>
  <si>
    <t>Consistent</t>
  </si>
  <si>
    <t>Semi-Consistent</t>
  </si>
  <si>
    <t>Inconsistent</t>
  </si>
  <si>
    <t>First timers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</si>
  <si>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</si>
  <si>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</si>
  <si>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</si>
  <si>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</si>
  <si>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</si>
  <si>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</si>
  <si>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</si>
  <si>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</si>
  <si>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</si>
  <si>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</si>
  <si>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</si>
  <si>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</si>
  <si>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LEADERS</t>
  </si>
  <si>
    <t>INTENSE</t>
  </si>
  <si>
    <t>CONSISTENT</t>
  </si>
  <si>
    <t>SEMI-CONSISTENT</t>
  </si>
  <si>
    <t>INCONSISTENT</t>
  </si>
  <si>
    <t>WEEKLY AVERAGE</t>
  </si>
  <si>
    <t>43/12</t>
  </si>
  <si>
    <t>1st Qtr Att</t>
  </si>
  <si>
    <t>2nd Qtr Att</t>
  </si>
  <si>
    <t>3rd Qtr Att</t>
  </si>
  <si>
    <t>4th Qtr Att</t>
  </si>
  <si>
    <t>Yearly Att</t>
  </si>
  <si>
    <t>Yearly Att Avg</t>
  </si>
  <si>
    <t>1st - 2nd  Qtr % Inc</t>
  </si>
  <si>
    <t>2nd - 3rd  Qtr % Inc</t>
  </si>
  <si>
    <t>3rd - 4th  Qtr % Inc</t>
  </si>
  <si>
    <t>1st Qtr Avg</t>
  </si>
  <si>
    <t>2nd Qtr Avg</t>
  </si>
  <si>
    <t>3rd Qtr Avg</t>
  </si>
  <si>
    <t>4th Qtr Avg</t>
  </si>
  <si>
    <t>Jan</t>
  </si>
  <si>
    <t>Feb</t>
  </si>
  <si>
    <t>Mar</t>
  </si>
  <si>
    <t>Apr</t>
  </si>
  <si>
    <t>May.</t>
  </si>
  <si>
    <t>Jun</t>
  </si>
  <si>
    <t>Jul</t>
  </si>
  <si>
    <t>Aug</t>
  </si>
  <si>
    <t>Sept</t>
  </si>
  <si>
    <t>Oct</t>
  </si>
  <si>
    <t>Nov</t>
  </si>
  <si>
    <t>Dec</t>
  </si>
  <si>
    <t>1st Qtr Att.</t>
  </si>
  <si>
    <t>2nd Qtr Att.</t>
  </si>
  <si>
    <t>3rd Qtr Att.</t>
  </si>
  <si>
    <t>4th Qtr Att.</t>
  </si>
  <si>
    <t>1st - 2nd  Qtr % Inc/Dec</t>
  </si>
  <si>
    <t>2nd - 3rd  Qtr % Inc/Dec</t>
  </si>
  <si>
    <t>3rd - 4th  Qtr % Inc/Dec</t>
  </si>
  <si>
    <t>Sum of 1st Qtr Avg</t>
  </si>
  <si>
    <t>Sum of 2nd Qtr Avg</t>
  </si>
  <si>
    <t>Sum of 3rd Qtr Avg</t>
  </si>
  <si>
    <t>Sum of 4th Qtr Avg</t>
  </si>
  <si>
    <t>Sum of Yearly Att</t>
  </si>
  <si>
    <t>TOTAL ATT</t>
  </si>
  <si>
    <t>EA</t>
  </si>
  <si>
    <t>YEA%</t>
  </si>
  <si>
    <t>MEA%</t>
  </si>
  <si>
    <t>QEA%</t>
  </si>
  <si>
    <t>QEA</t>
  </si>
  <si>
    <t>YRLY</t>
  </si>
  <si>
    <t>QTRLY AVERAGE</t>
  </si>
  <si>
    <t>FIRST TIMERS</t>
  </si>
  <si>
    <t>FT ESTABLISHED</t>
  </si>
  <si>
    <t>MEM FROM SCH</t>
  </si>
  <si>
    <t>AA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</si>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</sst>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5">
    <font>
      <sz val="11"/>
      <color theme="1"/>
      <name val="Calibri"/>
      <family val="2"/>
      <charset val="134"/>
      <scheme val="minor"/>
    </font>
    <font>
      <sz val="9"/>
      <color theme="1"/>
      <name val="Calibri"/>
      <family val="2"/>
      <scheme val="minor"/>
    </font>
    <font>
      <b/>
      <sz val="9"/>
      <color theme="1"/>
      <name val="Bookman Old Style"/>
      <family val="1"/>
    </font>
    <font>
      <sz val="9"/>
      <color theme="1"/>
      <name val="Bookman Old Style"/>
      <family val="1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name val="Bookman Old Style"/>
      <family val="1"/>
    </font>
    <font>
      <b/>
      <sz val="9"/>
      <color theme="1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8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3" borderId="1" xfId="0" applyFill="1" applyBorder="1"/>
    <xf numFmtId="0" fontId="1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0" borderId="1" xfId="0" applyBorder="1"/>
    <xf numFmtId="0" fontId="5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3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2" fontId="0" fillId="0" borderId="1" xfId="0" applyNumberFormat="1" applyBorder="1"/>
    <xf numFmtId="0" fontId="0" fillId="9" borderId="1" xfId="0" applyFill="1" applyBorder="1"/>
    <xf numFmtId="0" fontId="0" fillId="7" borderId="1" xfId="0" applyFill="1" applyBorder="1"/>
    <xf numFmtId="0" fontId="3" fillId="10" borderId="1" xfId="0" applyFont="1" applyFill="1" applyBorder="1"/>
    <xf numFmtId="0" fontId="3" fillId="10" borderId="3" xfId="0" applyFont="1" applyFill="1" applyBorder="1"/>
    <xf numFmtId="0" fontId="3" fillId="9" borderId="1" xfId="0" applyFont="1" applyFill="1" applyBorder="1"/>
    <xf numFmtId="0" fontId="3" fillId="9" borderId="3" xfId="0" applyFont="1" applyFill="1" applyBorder="1"/>
    <xf numFmtId="0" fontId="3" fillId="11" borderId="1" xfId="0" applyFont="1" applyFill="1" applyBorder="1"/>
    <xf numFmtId="0" fontId="3" fillId="11" borderId="3" xfId="0" applyFont="1" applyFill="1" applyBorder="1"/>
    <xf numFmtId="0" fontId="3" fillId="12" borderId="1" xfId="0" applyFont="1" applyFill="1" applyBorder="1"/>
    <xf numFmtId="0" fontId="3" fillId="12" borderId="3" xfId="0" applyFont="1" applyFill="1" applyBorder="1"/>
    <xf numFmtId="0" fontId="3" fillId="2" borderId="1" xfId="0" applyFont="1" applyFill="1" applyBorder="1"/>
    <xf numFmtId="0" fontId="3" fillId="2" borderId="3" xfId="0" applyFont="1" applyFill="1" applyBorder="1"/>
    <xf numFmtId="0" fontId="3" fillId="13" borderId="1" xfId="0" applyFont="1" applyFill="1" applyBorder="1"/>
    <xf numFmtId="0" fontId="3" fillId="13" borderId="3" xfId="0" applyFont="1" applyFill="1" applyBorder="1"/>
    <xf numFmtId="0" fontId="2" fillId="2" borderId="1" xfId="0" applyFont="1" applyFill="1" applyBorder="1"/>
    <xf numFmtId="0" fontId="2" fillId="2" borderId="3" xfId="0" applyFont="1" applyFill="1" applyBorder="1"/>
    <xf numFmtId="0" fontId="2" fillId="12" borderId="1" xfId="0" applyFont="1" applyFill="1" applyBorder="1"/>
    <xf numFmtId="0" fontId="2" fillId="12" borderId="3" xfId="0" applyFont="1" applyFill="1" applyBorder="1"/>
    <xf numFmtId="0" fontId="2" fillId="11" borderId="1" xfId="0" applyFont="1" applyFill="1" applyBorder="1"/>
    <xf numFmtId="0" fontId="2" fillId="11" borderId="3" xfId="0" applyFont="1" applyFill="1" applyBorder="1"/>
    <xf numFmtId="0" fontId="2" fillId="9" borderId="1" xfId="0" applyFont="1" applyFill="1" applyBorder="1"/>
    <xf numFmtId="0" fontId="2" fillId="9" borderId="3" xfId="0" applyFont="1" applyFill="1" applyBorder="1"/>
    <xf numFmtId="0" fontId="2" fillId="10" borderId="1" xfId="0" applyFont="1" applyFill="1" applyBorder="1"/>
    <xf numFmtId="0" fontId="2" fillId="10" borderId="3" xfId="0" applyFont="1" applyFill="1" applyBorder="1"/>
    <xf numFmtId="0" fontId="2" fillId="0" borderId="1" xfId="0" applyFont="1" applyBorder="1"/>
    <xf numFmtId="0" fontId="1" fillId="0" borderId="2" xfId="0" applyFont="1" applyBorder="1"/>
    <xf numFmtId="0" fontId="2" fillId="13" borderId="6" xfId="0" applyFont="1" applyFill="1" applyBorder="1"/>
    <xf numFmtId="0" fontId="2" fillId="13" borderId="5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12" borderId="10" xfId="0" applyFont="1" applyFill="1" applyBorder="1"/>
    <xf numFmtId="0" fontId="3" fillId="12" borderId="10" xfId="0" applyFont="1" applyFill="1" applyBorder="1"/>
    <xf numFmtId="0" fontId="2" fillId="14" borderId="11" xfId="0" applyFont="1" applyFill="1" applyBorder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1" fillId="0" borderId="0" xfId="0" applyFont="1" applyAlignment="1">
      <alignment wrapText="1"/>
    </xf>
    <xf numFmtId="0" fontId="2" fillId="0" borderId="12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2" fontId="2" fillId="0" borderId="1" xfId="0" applyNumberFormat="1" applyFont="1" applyBorder="1"/>
    <xf numFmtId="2" fontId="2" fillId="0" borderId="3" xfId="0" applyNumberFormat="1" applyFont="1" applyBorder="1"/>
    <xf numFmtId="0" fontId="7" fillId="0" borderId="0" xfId="0" applyFont="1"/>
    <xf numFmtId="0" fontId="2" fillId="0" borderId="3" xfId="0" applyFont="1" applyBorder="1"/>
    <xf numFmtId="164" fontId="8" fillId="0" borderId="1" xfId="0" applyNumberFormat="1" applyFont="1" applyBorder="1" applyAlignment="1" applyProtection="1">
      <alignment horizontal="center" vertical="center"/>
      <protection locked="0"/>
    </xf>
    <xf numFmtId="164" fontId="8" fillId="0" borderId="2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164" fontId="8" fillId="0" borderId="6" xfId="0" applyNumberFormat="1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1" fontId="2" fillId="0" borderId="1" xfId="0" applyNumberFormat="1" applyFont="1" applyBorder="1"/>
    <xf numFmtId="1" fontId="0" fillId="3" borderId="1" xfId="0" applyNumberFormat="1" applyFill="1" applyBorder="1"/>
    <xf numFmtId="0" fontId="3" fillId="3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/>
    <xf numFmtId="1" fontId="0" fillId="3" borderId="10" xfId="0" applyNumberFormat="1" applyFill="1" applyBorder="1"/>
    <xf numFmtId="1" fontId="0" fillId="3" borderId="13" xfId="0" applyNumberFormat="1" applyFill="1" applyBorder="1"/>
    <xf numFmtId="1" fontId="0" fillId="3" borderId="14" xfId="0" applyNumberFormat="1" applyFill="1" applyBorder="1"/>
    <xf numFmtId="0" fontId="0" fillId="15" borderId="1" xfId="0" applyFill="1" applyBorder="1"/>
    <xf numFmtId="0" fontId="10" fillId="3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64" fontId="13" fillId="0" borderId="6" xfId="0" applyNumberFormat="1" applyFont="1" applyBorder="1" applyAlignment="1" applyProtection="1">
      <alignment horizontal="center" vertical="center"/>
      <protection locked="0"/>
    </xf>
    <xf numFmtId="164" fontId="13" fillId="0" borderId="1" xfId="0" applyNumberFormat="1" applyFont="1" applyBorder="1" applyAlignment="1" applyProtection="1">
      <alignment horizontal="center" vertical="center"/>
      <protection locked="0"/>
    </xf>
    <xf numFmtId="164" fontId="13" fillId="0" borderId="2" xfId="0" applyNumberFormat="1" applyFont="1" applyBorder="1" applyAlignment="1" applyProtection="1">
      <alignment horizontal="center" vertical="center"/>
      <protection locked="0"/>
    </xf>
    <xf numFmtId="0" fontId="11" fillId="5" borderId="1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3" borderId="11" xfId="0" applyFont="1" applyFill="1" applyBorder="1" applyAlignment="1">
      <alignment horizontal="center"/>
    </xf>
    <xf numFmtId="0" fontId="2" fillId="13" borderId="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12" borderId="2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1" fontId="2" fillId="13" borderId="11" xfId="0" applyNumberFormat="1" applyFont="1" applyFill="1" applyBorder="1" applyAlignment="1">
      <alignment horizontal="center"/>
    </xf>
    <xf numFmtId="1" fontId="2" fillId="13" borderId="6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6" xfId="0" applyNumberFormat="1" applyFont="1" applyFill="1" applyBorder="1" applyAlignment="1">
      <alignment horizontal="center"/>
    </xf>
    <xf numFmtId="1" fontId="2" fillId="12" borderId="2" xfId="0" applyNumberFormat="1" applyFont="1" applyFill="1" applyBorder="1" applyAlignment="1">
      <alignment horizontal="center"/>
    </xf>
    <xf numFmtId="1" fontId="2" fillId="12" borderId="6" xfId="0" applyNumberFormat="1" applyFont="1" applyFill="1" applyBorder="1" applyAlignment="1">
      <alignment horizontal="center"/>
    </xf>
    <xf numFmtId="1" fontId="2" fillId="11" borderId="2" xfId="0" applyNumberFormat="1" applyFont="1" applyFill="1" applyBorder="1" applyAlignment="1">
      <alignment horizontal="center"/>
    </xf>
    <xf numFmtId="1" fontId="2" fillId="11" borderId="6" xfId="0" applyNumberFormat="1" applyFont="1" applyFill="1" applyBorder="1" applyAlignment="1">
      <alignment horizontal="center"/>
    </xf>
    <xf numFmtId="1" fontId="2" fillId="9" borderId="2" xfId="0" applyNumberFormat="1" applyFont="1" applyFill="1" applyBorder="1" applyAlignment="1">
      <alignment horizontal="center"/>
    </xf>
    <xf numFmtId="1" fontId="2" fillId="9" borderId="6" xfId="0" applyNumberFormat="1" applyFont="1" applyFill="1" applyBorder="1" applyAlignment="1">
      <alignment horizontal="center"/>
    </xf>
    <xf numFmtId="1" fontId="2" fillId="10" borderId="2" xfId="0" applyNumberFormat="1" applyFont="1" applyFill="1" applyBorder="1" applyAlignment="1">
      <alignment horizontal="center"/>
    </xf>
    <xf numFmtId="1" fontId="2" fillId="10" borderId="6" xfId="0" applyNumberFormat="1" applyFont="1" applyFill="1" applyBorder="1" applyAlignment="1">
      <alignment horizontal="center"/>
    </xf>
    <xf numFmtId="0" fontId="6" fillId="13" borderId="11" xfId="0" applyFont="1" applyFill="1" applyBorder="1" applyAlignment="1">
      <alignment horizontal="center"/>
    </xf>
    <xf numFmtId="0" fontId="6" fillId="13" borderId="6" xfId="0" applyFont="1" applyFill="1" applyBorder="1" applyAlignment="1">
      <alignment horizontal="center"/>
    </xf>
    <xf numFmtId="1" fontId="2" fillId="14" borderId="2" xfId="0" applyNumberFormat="1" applyFont="1" applyFill="1" applyBorder="1" applyAlignment="1">
      <alignment horizontal="center"/>
    </xf>
    <xf numFmtId="1" fontId="2" fillId="14" borderId="6" xfId="0" applyNumberFormat="1" applyFont="1" applyFill="1" applyBorder="1" applyAlignment="1">
      <alignment horizontal="center"/>
    </xf>
    <xf numFmtId="1" fontId="2" fillId="14" borderId="11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12" borderId="17" xfId="0" applyFont="1" applyFill="1" applyBorder="1" applyAlignment="1">
      <alignment horizontal="center"/>
    </xf>
    <xf numFmtId="0" fontId="2" fillId="12" borderId="18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</cellXfs>
  <cellStyles count="1">
    <cellStyle name="Normal" xfId="0" builtinId="0"/>
  </cellStyles>
  <dxfs count="74">
    <dxf>
      <fill>
        <patternFill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M353"/>
  <sheetViews>
    <sheetView tabSelected="1" topLeftCell="A329" zoomScaleNormal="100" workbookViewId="0">
      <pane xSplit="1" topLeftCell="M1" activePane="topRight" state="frozen"/>
      <selection pane="topRight" activeCell="V351" sqref="V351"/>
    </sheetView>
  </sheetViews>
  <sheetFormatPr defaultColWidth="8.88671875" defaultRowHeight="14.4"/>
  <cols>
    <col min="1" max="1" width="28" style="89" customWidth="1"/>
    <col min="2" max="2" width="16.6640625" style="9" customWidth="1"/>
    <col min="3" max="3" width="11.44140625" style="9" customWidth="1"/>
    <col min="4" max="4" width="10.88671875" style="9" customWidth="1"/>
    <col min="5" max="5" width="9.5546875" style="9" customWidth="1"/>
    <col min="6" max="6" width="11.44140625" style="9" customWidth="1"/>
    <col min="7" max="7" width="11.109375" style="9" customWidth="1"/>
    <col min="8" max="10" width="13.33203125" style="9" customWidth="1"/>
    <col min="11" max="11" width="11" style="9" customWidth="1"/>
    <col min="12" max="12" width="10.5546875" style="9" customWidth="1"/>
    <col min="13" max="13" width="11.6640625" style="9" customWidth="1"/>
    <col min="14" max="14" width="10.88671875" style="9" customWidth="1"/>
    <col min="15" max="15" width="13.6640625" style="9" customWidth="1"/>
    <col min="16" max="17" width="13.33203125" style="9" customWidth="1"/>
    <col min="18" max="18" width="11.33203125" style="9" customWidth="1"/>
    <col min="19" max="19" width="11.109375" style="9" customWidth="1"/>
    <col min="20" max="20" width="11.88671875" style="9" customWidth="1"/>
    <col min="21" max="21" width="10.109375" style="9" customWidth="1"/>
    <col min="22" max="22" width="12.109375" style="9" customWidth="1"/>
    <col min="23" max="25" width="13.33203125" style="9" customWidth="1"/>
    <col min="26" max="26" width="12.109375" style="9" customWidth="1"/>
    <col min="27" max="27" width="8.33203125" style="9" customWidth="1"/>
    <col min="28" max="28" width="10.109375" style="9" bestFit="1" customWidth="1"/>
    <col min="29" max="29" width="10.5546875" style="9" customWidth="1"/>
    <col min="30" max="30" width="9.6640625" style="9" customWidth="1"/>
    <col min="31" max="32" width="10.33203125" style="9" customWidth="1"/>
    <col min="33" max="33" width="16.44140625" style="9" customWidth="1"/>
    <col min="34" max="35" width="13.33203125" style="9" customWidth="1"/>
    <col min="36" max="40" width="8.88671875" style="9"/>
    <col min="41" max="41" width="12.6640625" style="9" customWidth="1"/>
    <col min="42" max="43" width="13.33203125" style="9" customWidth="1"/>
    <col min="44" max="47" width="8.88671875" style="9"/>
    <col min="48" max="48" width="13" style="9" customWidth="1"/>
    <col min="49" max="51" width="13.33203125" style="9" customWidth="1"/>
    <col min="52" max="52" width="12.109375" style="9" customWidth="1"/>
    <col min="53" max="57" width="8.88671875" style="9"/>
    <col min="58" max="58" width="10.109375" style="9" customWidth="1"/>
    <col min="59" max="60" width="13.33203125" style="9" customWidth="1"/>
    <col min="61" max="65" width="8.88671875" style="9"/>
    <col min="66" max="66" width="11.5546875" style="9" customWidth="1"/>
    <col min="67" max="67" width="10.21875" style="9" customWidth="1"/>
    <col min="68" max="68" width="10.5546875" style="9" customWidth="1"/>
    <col min="69" max="71" width="8.88671875" style="9"/>
    <col min="72" max="72" width="8" style="9" customWidth="1"/>
    <col min="73" max="73" width="12.109375" style="9" customWidth="1"/>
    <col min="74" max="74" width="12.33203125" style="9" customWidth="1"/>
    <col min="75" max="76" width="11.6640625" style="9" customWidth="1"/>
    <col min="77" max="77" width="12.109375" style="9" customWidth="1"/>
    <col min="78" max="78" width="8.88671875" style="9"/>
    <col min="79" max="79" width="10.109375" style="9" bestFit="1" customWidth="1"/>
    <col min="80" max="84" width="8.88671875" style="9"/>
    <col min="85" max="85" width="12.109375" style="9" customWidth="1"/>
    <col min="86" max="86" width="11.6640625" style="9" customWidth="1"/>
    <col min="87" max="87" width="11.33203125" style="9" customWidth="1"/>
    <col min="88" max="91" width="8.88671875" style="9"/>
    <col min="92" max="92" width="10.88671875" style="9" customWidth="1"/>
    <col min="93" max="93" width="10.21875" style="9" customWidth="1"/>
    <col min="94" max="94" width="9.6640625" style="9" customWidth="1"/>
    <col min="95" max="98" width="8.88671875" style="9"/>
    <col min="99" max="99" width="11.5546875" style="9" customWidth="1"/>
    <col min="100" max="100" width="11.33203125" style="9" customWidth="1"/>
    <col min="101" max="101" width="11.5546875" style="9" customWidth="1"/>
    <col min="102" max="102" width="10.88671875" style="9" customWidth="1"/>
    <col min="103" max="103" width="12.109375" style="9" customWidth="1"/>
    <col min="104" max="104" width="8.88671875" style="9"/>
    <col min="105" max="105" width="10.109375" style="9" bestFit="1" customWidth="1"/>
    <col min="106" max="106" width="14.33203125" style="9" customWidth="1"/>
    <col min="107" max="16384" width="8.88671875" style="9"/>
  </cols>
  <sheetData>
    <row r="1" spans="1:117" ht="18" customHeight="1">
      <c r="C1" s="97" t="s">
        <v>0</v>
      </c>
      <c r="D1" s="98"/>
      <c r="E1" s="98"/>
      <c r="F1" s="98"/>
      <c r="G1" s="99"/>
      <c r="I1" s="16"/>
      <c r="J1" s="16"/>
      <c r="K1" s="97" t="s">
        <v>1</v>
      </c>
      <c r="L1" s="98"/>
      <c r="M1" s="98"/>
      <c r="N1" s="99"/>
      <c r="P1" s="16"/>
      <c r="Q1" s="16"/>
      <c r="R1" s="97" t="s">
        <v>2</v>
      </c>
      <c r="S1" s="98"/>
      <c r="T1" s="98"/>
      <c r="U1" s="99"/>
      <c r="W1" s="16"/>
      <c r="X1" s="16"/>
      <c r="Y1" s="16"/>
      <c r="AB1" s="16"/>
      <c r="AC1" s="97" t="s">
        <v>3</v>
      </c>
      <c r="AD1" s="98"/>
      <c r="AE1" s="98"/>
      <c r="AF1" s="99"/>
      <c r="AH1" s="16"/>
      <c r="AI1" s="16"/>
      <c r="AJ1" s="97" t="s">
        <v>4</v>
      </c>
      <c r="AK1" s="98"/>
      <c r="AL1" s="98"/>
      <c r="AM1" s="98"/>
      <c r="AN1" s="99"/>
      <c r="AP1" s="16"/>
      <c r="AQ1" s="16"/>
      <c r="AR1" s="97" t="s">
        <v>5</v>
      </c>
      <c r="AS1" s="98"/>
      <c r="AT1" s="98"/>
      <c r="AU1" s="99"/>
      <c r="AW1" s="16"/>
      <c r="AX1" s="16"/>
      <c r="AY1" s="16"/>
      <c r="BB1" s="97" t="s">
        <v>6</v>
      </c>
      <c r="BC1" s="98"/>
      <c r="BD1" s="98"/>
      <c r="BE1" s="99"/>
      <c r="BG1" s="16"/>
      <c r="BH1" s="16"/>
      <c r="BI1" s="97" t="s">
        <v>7</v>
      </c>
      <c r="BJ1" s="98"/>
      <c r="BK1" s="98"/>
      <c r="BL1" s="98"/>
      <c r="BM1" s="99"/>
      <c r="BO1" s="16"/>
      <c r="BP1" s="16"/>
      <c r="BQ1" s="97" t="s">
        <v>8</v>
      </c>
      <c r="BR1" s="98"/>
      <c r="BS1" s="98"/>
      <c r="BT1" s="99"/>
      <c r="BV1" s="16"/>
      <c r="BW1" s="16"/>
      <c r="BX1" s="16"/>
      <c r="CA1" s="16"/>
      <c r="CB1" s="97" t="s">
        <v>9</v>
      </c>
      <c r="CC1" s="98"/>
      <c r="CD1" s="98"/>
      <c r="CE1" s="98"/>
      <c r="CF1" s="99"/>
      <c r="CH1" s="16"/>
      <c r="CI1" s="16"/>
      <c r="CJ1" s="97" t="s">
        <v>10</v>
      </c>
      <c r="CK1" s="98"/>
      <c r="CL1" s="98"/>
      <c r="CM1" s="99"/>
      <c r="CO1" s="16"/>
      <c r="CP1" s="16"/>
      <c r="CQ1" s="97" t="s">
        <v>11</v>
      </c>
      <c r="CR1" s="98"/>
      <c r="CS1" s="98"/>
      <c r="CT1" s="99"/>
      <c r="CV1" s="16"/>
      <c r="CW1" s="16"/>
      <c r="CX1" s="16"/>
      <c r="DA1" s="16"/>
    </row>
    <row r="2" spans="1:117" ht="18" customHeight="1">
      <c r="C2" s="100"/>
      <c r="D2" s="101"/>
      <c r="E2" s="101"/>
      <c r="F2" s="101"/>
      <c r="G2" s="102"/>
      <c r="I2" s="17"/>
      <c r="J2" s="17"/>
      <c r="K2" s="100"/>
      <c r="L2" s="101"/>
      <c r="M2" s="101"/>
      <c r="N2" s="102"/>
      <c r="P2" s="17"/>
      <c r="Q2" s="17"/>
      <c r="R2" s="100"/>
      <c r="S2" s="101"/>
      <c r="T2" s="101"/>
      <c r="U2" s="102"/>
      <c r="W2" s="17"/>
      <c r="X2" s="17"/>
      <c r="Y2" s="17"/>
      <c r="AB2" s="17"/>
      <c r="AC2" s="100"/>
      <c r="AD2" s="101"/>
      <c r="AE2" s="101"/>
      <c r="AF2" s="102"/>
      <c r="AH2" s="17"/>
      <c r="AI2" s="17"/>
      <c r="AJ2" s="100"/>
      <c r="AK2" s="101"/>
      <c r="AL2" s="101"/>
      <c r="AM2" s="101"/>
      <c r="AN2" s="102"/>
      <c r="AP2" s="17"/>
      <c r="AQ2" s="17"/>
      <c r="AR2" s="100"/>
      <c r="AS2" s="101"/>
      <c r="AT2" s="101"/>
      <c r="AU2" s="102"/>
      <c r="AW2" s="17"/>
      <c r="AX2" s="17"/>
      <c r="AY2" s="17"/>
      <c r="BB2" s="100"/>
      <c r="BC2" s="101"/>
      <c r="BD2" s="101"/>
      <c r="BE2" s="102"/>
      <c r="BG2" s="17"/>
      <c r="BH2" s="17"/>
      <c r="BI2" s="100"/>
      <c r="BJ2" s="101"/>
      <c r="BK2" s="101"/>
      <c r="BL2" s="101"/>
      <c r="BM2" s="102"/>
      <c r="BO2" s="17"/>
      <c r="BP2" s="17"/>
      <c r="BQ2" s="100"/>
      <c r="BR2" s="101"/>
      <c r="BS2" s="101"/>
      <c r="BT2" s="102"/>
      <c r="BV2" s="17"/>
      <c r="BW2" s="17"/>
      <c r="BX2" s="17"/>
      <c r="CA2" s="17"/>
      <c r="CB2" s="100"/>
      <c r="CC2" s="101"/>
      <c r="CD2" s="101"/>
      <c r="CE2" s="101"/>
      <c r="CF2" s="102"/>
      <c r="CH2" s="17"/>
      <c r="CI2" s="17"/>
      <c r="CJ2" s="100"/>
      <c r="CK2" s="101"/>
      <c r="CL2" s="101"/>
      <c r="CM2" s="102"/>
      <c r="CO2" s="17"/>
      <c r="CP2" s="17"/>
      <c r="CQ2" s="100"/>
      <c r="CR2" s="101"/>
      <c r="CS2" s="101"/>
      <c r="CT2" s="102"/>
      <c r="CV2" s="17"/>
      <c r="CW2" s="17"/>
      <c r="CX2" s="17"/>
      <c r="DA2" s="17"/>
    </row>
    <row r="3" spans="1:117" s="7" customFormat="1">
      <c r="A3" s="90" t="s">
        <v>12</v>
      </c>
      <c r="B3" s="10" t="s">
        <v>13</v>
      </c>
      <c r="C3" s="10" t="s">
        <v>14</v>
      </c>
      <c r="D3" s="10" t="s">
        <v>15</v>
      </c>
      <c r="E3" s="10" t="s">
        <v>16</v>
      </c>
      <c r="F3" s="10" t="s">
        <v>17</v>
      </c>
      <c r="G3" s="10" t="s">
        <v>18</v>
      </c>
      <c r="H3" s="11"/>
      <c r="I3" s="11"/>
      <c r="J3" s="11"/>
      <c r="K3" s="10" t="s">
        <v>19</v>
      </c>
      <c r="L3" s="10" t="s">
        <v>20</v>
      </c>
      <c r="M3" s="10" t="s">
        <v>21</v>
      </c>
      <c r="N3" s="10" t="s">
        <v>22</v>
      </c>
      <c r="O3" s="10"/>
      <c r="P3" s="11"/>
      <c r="Q3" s="11"/>
      <c r="R3" s="10" t="s">
        <v>23</v>
      </c>
      <c r="S3" s="10" t="s">
        <v>24</v>
      </c>
      <c r="T3" s="10" t="s">
        <v>25</v>
      </c>
      <c r="U3" s="10" t="s">
        <v>26</v>
      </c>
      <c r="V3" s="10"/>
      <c r="W3" s="11"/>
      <c r="X3" s="11"/>
      <c r="Y3" s="11"/>
      <c r="Z3" s="10"/>
      <c r="AA3" s="10"/>
      <c r="AB3" s="10"/>
      <c r="AC3" s="10" t="s">
        <v>27</v>
      </c>
      <c r="AD3" s="10" t="s">
        <v>28</v>
      </c>
      <c r="AE3" s="10" t="s">
        <v>29</v>
      </c>
      <c r="AF3" s="10" t="s">
        <v>30</v>
      </c>
      <c r="AG3" s="10"/>
      <c r="AH3" s="11"/>
      <c r="AI3" s="11"/>
      <c r="AJ3" s="10" t="s">
        <v>31</v>
      </c>
      <c r="AK3" s="10" t="s">
        <v>32</v>
      </c>
      <c r="AL3" s="10" t="s">
        <v>33</v>
      </c>
      <c r="AM3" s="10" t="s">
        <v>34</v>
      </c>
      <c r="AN3" s="10" t="s">
        <v>35</v>
      </c>
      <c r="AO3" s="10"/>
      <c r="AP3" s="11"/>
      <c r="AQ3" s="11"/>
      <c r="AR3" s="10" t="s">
        <v>36</v>
      </c>
      <c r="AS3" s="10" t="s">
        <v>37</v>
      </c>
      <c r="AT3" s="10" t="s">
        <v>38</v>
      </c>
      <c r="AU3" s="10" t="s">
        <v>39</v>
      </c>
      <c r="AV3" s="10"/>
      <c r="AW3" s="11"/>
      <c r="AX3" s="11"/>
      <c r="AY3" s="11"/>
      <c r="AZ3" s="10"/>
      <c r="BA3" s="10"/>
      <c r="BB3" s="10" t="s">
        <v>40</v>
      </c>
      <c r="BC3" s="10" t="s">
        <v>41</v>
      </c>
      <c r="BD3" s="10" t="s">
        <v>42</v>
      </c>
      <c r="BE3" s="10" t="s">
        <v>43</v>
      </c>
      <c r="BF3" s="11"/>
      <c r="BG3" s="11"/>
      <c r="BH3" s="11"/>
      <c r="BI3" s="10" t="s">
        <v>44</v>
      </c>
      <c r="BJ3" s="10" t="s">
        <v>45</v>
      </c>
      <c r="BK3" s="10" t="s">
        <v>46</v>
      </c>
      <c r="BL3" s="10" t="s">
        <v>47</v>
      </c>
      <c r="BM3" s="10" t="s">
        <v>48</v>
      </c>
      <c r="BN3" s="10"/>
      <c r="BO3" s="11"/>
      <c r="BP3" s="11"/>
      <c r="BQ3" s="10" t="s">
        <v>49</v>
      </c>
      <c r="BR3" s="10" t="s">
        <v>50</v>
      </c>
      <c r="BS3" s="10" t="s">
        <v>51</v>
      </c>
      <c r="BT3" s="10" t="s">
        <v>52</v>
      </c>
      <c r="BU3" s="10"/>
      <c r="BV3" s="11"/>
      <c r="BW3" s="11"/>
      <c r="BX3" s="11"/>
      <c r="BY3" s="10"/>
      <c r="BZ3" s="10"/>
      <c r="CA3" s="10"/>
      <c r="CB3" s="10" t="s">
        <v>53</v>
      </c>
      <c r="CC3" s="10" t="s">
        <v>54</v>
      </c>
      <c r="CD3" s="10" t="s">
        <v>55</v>
      </c>
      <c r="CE3" s="10" t="s">
        <v>56</v>
      </c>
      <c r="CF3" s="10" t="s">
        <v>57</v>
      </c>
      <c r="CG3" s="10"/>
      <c r="CH3" s="11"/>
      <c r="CI3" s="11"/>
      <c r="CJ3" s="10" t="s">
        <v>58</v>
      </c>
      <c r="CK3" s="10" t="s">
        <v>59</v>
      </c>
      <c r="CL3" s="10" t="s">
        <v>60</v>
      </c>
      <c r="CM3" s="10" t="s">
        <v>61</v>
      </c>
      <c r="CN3" s="10"/>
      <c r="CO3" s="11"/>
      <c r="CP3" s="11"/>
      <c r="CQ3" s="10" t="s">
        <v>62</v>
      </c>
      <c r="CR3" s="10" t="s">
        <v>63</v>
      </c>
      <c r="CS3" s="10" t="s">
        <v>64</v>
      </c>
      <c r="CT3" s="10" t="s">
        <v>65</v>
      </c>
      <c r="CU3" s="10"/>
      <c r="CV3" s="11"/>
      <c r="CW3" s="11"/>
      <c r="CX3" s="11"/>
      <c r="CY3" s="10"/>
      <c r="CZ3" s="10"/>
      <c r="DA3" s="10"/>
    </row>
    <row r="4" spans="1:117">
      <c r="A4" s="90" t="s">
        <v>66</v>
      </c>
      <c r="B4" s="8"/>
      <c r="C4" s="8"/>
      <c r="D4" s="8"/>
      <c r="E4" s="8"/>
      <c r="F4" s="8"/>
      <c r="G4" s="8"/>
      <c r="H4" s="10" t="s">
        <v>67</v>
      </c>
      <c r="I4" s="10" t="s">
        <v>68</v>
      </c>
      <c r="J4" s="10" t="s">
        <v>69</v>
      </c>
      <c r="K4" s="8"/>
      <c r="L4" s="8"/>
      <c r="M4" s="8"/>
      <c r="N4" s="8"/>
      <c r="O4" s="10" t="s">
        <v>67</v>
      </c>
      <c r="P4" s="10" t="s">
        <v>68</v>
      </c>
      <c r="Q4" s="10" t="s">
        <v>69</v>
      </c>
      <c r="R4" s="8"/>
      <c r="S4" s="8"/>
      <c r="T4" s="8"/>
      <c r="U4" s="8"/>
      <c r="V4" s="10" t="s">
        <v>67</v>
      </c>
      <c r="W4" s="10" t="s">
        <v>68</v>
      </c>
      <c r="X4" s="10" t="s">
        <v>69</v>
      </c>
      <c r="Y4" s="10" t="s">
        <v>70</v>
      </c>
      <c r="Z4" s="10" t="s">
        <v>71</v>
      </c>
      <c r="AA4" s="10" t="s">
        <v>72</v>
      </c>
      <c r="AB4" s="10" t="s">
        <v>146</v>
      </c>
      <c r="AC4" s="8"/>
      <c r="AD4" s="8"/>
      <c r="AE4" s="8"/>
      <c r="AF4" s="8"/>
      <c r="AG4" s="10" t="s">
        <v>67</v>
      </c>
      <c r="AH4" s="10" t="s">
        <v>68</v>
      </c>
      <c r="AI4" s="10" t="s">
        <v>69</v>
      </c>
      <c r="AJ4" s="8"/>
      <c r="AK4" s="8"/>
      <c r="AL4" s="8"/>
      <c r="AM4" s="8"/>
      <c r="AN4" s="8"/>
      <c r="AO4" s="10" t="s">
        <v>67</v>
      </c>
      <c r="AP4" s="10" t="s">
        <v>68</v>
      </c>
      <c r="AQ4" s="10" t="s">
        <v>69</v>
      </c>
      <c r="AR4" s="8"/>
      <c r="AS4" s="8"/>
      <c r="AT4" s="8"/>
      <c r="AU4" s="8"/>
      <c r="AV4" s="10" t="s">
        <v>67</v>
      </c>
      <c r="AW4" s="10" t="s">
        <v>68</v>
      </c>
      <c r="AX4" s="10" t="s">
        <v>69</v>
      </c>
      <c r="AY4" s="10" t="s">
        <v>70</v>
      </c>
      <c r="AZ4" s="10" t="s">
        <v>71</v>
      </c>
      <c r="BA4" s="10" t="s">
        <v>72</v>
      </c>
      <c r="BB4" s="8"/>
      <c r="BC4" s="8"/>
      <c r="BD4" s="8"/>
      <c r="BE4" s="8"/>
      <c r="BF4" s="10" t="s">
        <v>67</v>
      </c>
      <c r="BG4" s="10" t="s">
        <v>68</v>
      </c>
      <c r="BH4" s="10" t="s">
        <v>69</v>
      </c>
      <c r="BI4" s="8"/>
      <c r="BJ4" s="8"/>
      <c r="BK4" s="8"/>
      <c r="BL4" s="8"/>
      <c r="BM4" s="8"/>
      <c r="BN4" s="10" t="s">
        <v>67</v>
      </c>
      <c r="BO4" s="10" t="s">
        <v>68</v>
      </c>
      <c r="BP4" s="10" t="s">
        <v>69</v>
      </c>
      <c r="BQ4" s="8"/>
      <c r="BR4" s="8"/>
      <c r="BS4" s="8"/>
      <c r="BT4" s="8"/>
      <c r="BU4" s="10" t="s">
        <v>67</v>
      </c>
      <c r="BV4" s="10" t="s">
        <v>68</v>
      </c>
      <c r="BW4" s="10" t="s">
        <v>69</v>
      </c>
      <c r="BX4" s="10" t="s">
        <v>70</v>
      </c>
      <c r="BY4" s="10" t="s">
        <v>71</v>
      </c>
      <c r="BZ4" s="10" t="s">
        <v>72</v>
      </c>
      <c r="CA4" s="10" t="s">
        <v>146</v>
      </c>
      <c r="CB4" s="8"/>
      <c r="CC4" s="8"/>
      <c r="CD4" s="8"/>
      <c r="CE4" s="8"/>
      <c r="CF4" s="8"/>
      <c r="CG4" s="10" t="s">
        <v>67</v>
      </c>
      <c r="CH4" s="10" t="s">
        <v>68</v>
      </c>
      <c r="CI4" s="10" t="s">
        <v>69</v>
      </c>
      <c r="CJ4" s="8"/>
      <c r="CK4" s="8"/>
      <c r="CL4" s="8"/>
      <c r="CM4" s="8"/>
      <c r="CN4" s="10" t="s">
        <v>67</v>
      </c>
      <c r="CO4" s="10" t="s">
        <v>68</v>
      </c>
      <c r="CP4" s="10" t="s">
        <v>69</v>
      </c>
      <c r="CQ4" s="8"/>
      <c r="CR4" s="8"/>
      <c r="CS4" s="8"/>
      <c r="CT4" s="8"/>
      <c r="CU4" s="10" t="s">
        <v>67</v>
      </c>
      <c r="CV4" s="10" t="s">
        <v>68</v>
      </c>
      <c r="CW4" s="10" t="s">
        <v>69</v>
      </c>
      <c r="CX4" s="10" t="s">
        <v>134</v>
      </c>
      <c r="CY4" s="10" t="s">
        <v>71</v>
      </c>
      <c r="CZ4" s="10" t="s">
        <v>72</v>
      </c>
      <c r="DA4" s="10" t="s">
        <v>146</v>
      </c>
    </row>
    <row r="5" spans="1:117">
      <c r="A5" s="87"/>
      <c r="B5" s="14"/>
      <c r="H5" s="15">
        <f t="shared" ref="H5:H12" si="0">COUNTIF(C5:G5,"PR")</f>
        <v>0</v>
      </c>
      <c r="I5" s="18">
        <f>COUNTIF(C5:G5,"AB")</f>
        <v>0</v>
      </c>
      <c r="J5" s="15">
        <f>H5+I5</f>
        <v>0</v>
      </c>
      <c r="O5" s="15">
        <f t="shared" ref="O5:O27" si="1">COUNTIF(K5:N5,"PR")</f>
        <v>0</v>
      </c>
      <c r="P5" s="18">
        <f>COUNTIF(K5:N5,"AB")</f>
        <v>0</v>
      </c>
      <c r="Q5" s="15">
        <f>O5+P5</f>
        <v>0</v>
      </c>
      <c r="V5" s="15">
        <f>COUNTIF(R5:U5,"PR")</f>
        <v>0</v>
      </c>
      <c r="W5" s="15">
        <f>COUNTIF(R5:U5,"AB")</f>
        <v>0</v>
      </c>
      <c r="X5" s="15">
        <f>V5+W5</f>
        <v>0</v>
      </c>
      <c r="Y5" s="15">
        <f>J5+Q5+X5</f>
        <v>0</v>
      </c>
      <c r="Z5" s="15">
        <f>SUM(H5,O5,V5)</f>
        <v>0</v>
      </c>
      <c r="AA5" s="78" t="e">
        <f>Z5/Y5*100</f>
        <v>#DIV/0!</v>
      </c>
      <c r="AB5" s="82"/>
      <c r="AG5" s="15">
        <f t="shared" ref="AG5:AG27" si="2">COUNTIF(AC5:AF5,"PR")</f>
        <v>0</v>
      </c>
      <c r="AH5" s="15">
        <f>COUNTIF(AC5:AF5,"AB")</f>
        <v>0</v>
      </c>
      <c r="AI5" s="15">
        <f>AG5+AH5</f>
        <v>0</v>
      </c>
      <c r="AO5" s="15">
        <f t="shared" ref="AO5:AO27" si="3">COUNTIF(AJ5:AN5,"PR")</f>
        <v>0</v>
      </c>
      <c r="AP5" s="15">
        <f>COUNTIF(AJ5:AN5,"AB")</f>
        <v>0</v>
      </c>
      <c r="AQ5" s="15">
        <f>AO5+AP5</f>
        <v>0</v>
      </c>
      <c r="AV5" s="15">
        <f>COUNTIF(AR5:AU5,"PR")</f>
        <v>0</v>
      </c>
      <c r="AW5" s="15">
        <f>COUNTIF(AR5:AU5,"AB")</f>
        <v>0</v>
      </c>
      <c r="AX5" s="15">
        <f>AV5+AW5</f>
        <v>0</v>
      </c>
      <c r="AY5" s="15">
        <f>AI5+AQ5+AX5</f>
        <v>0</v>
      </c>
      <c r="AZ5" s="15">
        <f>SUM(AG5,AO5,AV5)</f>
        <v>0</v>
      </c>
      <c r="BA5" s="78" t="e">
        <f>AZ5/AY5*100</f>
        <v>#DIV/0!</v>
      </c>
      <c r="BD5" s="1"/>
      <c r="BF5" s="15">
        <f t="shared" ref="BF5:BF27" si="4">COUNTIF(BB5:BE5,"PR")</f>
        <v>0</v>
      </c>
      <c r="BG5" s="15">
        <f>COUNTIF(BB5:BE5,"AB")</f>
        <v>0</v>
      </c>
      <c r="BH5" s="15">
        <f>BF5+BG5</f>
        <v>0</v>
      </c>
      <c r="BN5" s="15">
        <f t="shared" ref="BN5:BN27" si="5">COUNTIF(BI5:BM5,"PR")</f>
        <v>0</v>
      </c>
      <c r="BO5" s="15">
        <f>COUNTIF(BI5:BM5,"AB")</f>
        <v>0</v>
      </c>
      <c r="BP5" s="15">
        <f>BN5+BO5</f>
        <v>0</v>
      </c>
      <c r="BU5" s="15">
        <f t="shared" ref="BU5:BU27" si="6">COUNTIF(BQ5:BT5,"PR")</f>
        <v>0</v>
      </c>
      <c r="BV5" s="15">
        <f>COUNTIF(BQ5:BT5,"AB")</f>
        <v>0</v>
      </c>
      <c r="BW5" s="15">
        <f>BU5+BV5</f>
        <v>0</v>
      </c>
      <c r="BX5" s="15">
        <f>BH5+BP5+BW5</f>
        <v>0</v>
      </c>
      <c r="BY5" s="15">
        <f>SUM(BF5,BN5,BU5)</f>
        <v>0</v>
      </c>
      <c r="BZ5" s="78" t="e">
        <f>BY5/BX5*100</f>
        <v>#DIV/0!</v>
      </c>
      <c r="CA5" s="82"/>
      <c r="CG5" s="15">
        <f>COUNTIF(CB5:CF5,"PR")</f>
        <v>0</v>
      </c>
      <c r="CH5" s="15">
        <f>COUNTIF(CB5:CF5,"AB")</f>
        <v>0</v>
      </c>
      <c r="CI5" s="15">
        <f>CG5+CH5</f>
        <v>0</v>
      </c>
      <c r="CN5" s="15">
        <f>COUNTIF(CJ5:CM5,"PR")</f>
        <v>0</v>
      </c>
      <c r="CO5" s="15">
        <f>COUNTIF(CJ5:CM5,"AB")</f>
        <v>0</v>
      </c>
      <c r="CP5" s="15">
        <f>CN5+CO5</f>
        <v>0</v>
      </c>
      <c r="CU5" s="15">
        <f t="shared" ref="CU5:CU27" si="7">COUNTIF(CQ5:CT5,"PR")</f>
        <v>0</v>
      </c>
      <c r="CV5" s="15">
        <f>COUNTIF(CQ5:CT5,"AB")</f>
        <v>0</v>
      </c>
      <c r="CW5" s="15">
        <f>CU5+CV5</f>
        <v>0</v>
      </c>
      <c r="CX5" s="15">
        <f>CG5+CN5+CU5</f>
        <v>0</v>
      </c>
      <c r="CY5" s="15" t="e">
        <f>SUM(CE5,#REF!,CS5)</f>
        <v>#REF!</v>
      </c>
      <c r="CZ5" s="78" t="e">
        <f>CY5/CX5*100</f>
        <v>#REF!</v>
      </c>
      <c r="DA5" s="82"/>
    </row>
    <row r="6" spans="1:117">
      <c r="A6" s="87"/>
      <c r="B6" s="14"/>
      <c r="H6" s="15">
        <f t="shared" si="0"/>
        <v>0</v>
      </c>
      <c r="I6" s="18">
        <f t="shared" ref="I6:I12" si="8">COUNTIF(C6:G6,"AB")</f>
        <v>0</v>
      </c>
      <c r="J6" s="15">
        <f t="shared" ref="J6:J12" si="9">H6+I6</f>
        <v>0</v>
      </c>
      <c r="O6" s="15">
        <f t="shared" si="1"/>
        <v>0</v>
      </c>
      <c r="P6" s="18">
        <f t="shared" ref="P6:P12" si="10">COUNTIF(K6:N6,"AB")</f>
        <v>0</v>
      </c>
      <c r="Q6" s="15">
        <f t="shared" ref="Q6:Q12" si="11">O6+P6</f>
        <v>0</v>
      </c>
      <c r="V6" s="15">
        <f t="shared" ref="V6:V12" si="12">COUNTIF(R6:U6,"PR")</f>
        <v>0</v>
      </c>
      <c r="W6" s="15">
        <f t="shared" ref="W6:W12" si="13">COUNTIF(R6:U6,"AB")</f>
        <v>0</v>
      </c>
      <c r="X6" s="15">
        <f t="shared" ref="X6:X12" si="14">V6+W6</f>
        <v>0</v>
      </c>
      <c r="Y6" s="15">
        <f>J6+Q6+X6</f>
        <v>0</v>
      </c>
      <c r="Z6" s="15">
        <f>SUM(H6,O6,V6)</f>
        <v>0</v>
      </c>
      <c r="AA6" s="78" t="e">
        <f t="shared" ref="AA6:AA27" si="15">Z6/Y6*100</f>
        <v>#DIV/0!</v>
      </c>
      <c r="AB6" s="82"/>
      <c r="AG6" s="15">
        <f t="shared" si="2"/>
        <v>0</v>
      </c>
      <c r="AH6" s="15">
        <f t="shared" ref="AH6:AH12" si="16">COUNTIF(AC6:AF6,"AB")</f>
        <v>0</v>
      </c>
      <c r="AI6" s="15">
        <f t="shared" ref="AI6:AI12" si="17">AG6+AH6</f>
        <v>0</v>
      </c>
      <c r="AO6" s="15">
        <f t="shared" si="3"/>
        <v>0</v>
      </c>
      <c r="AP6" s="15">
        <f t="shared" ref="AP6:AP12" si="18">COUNTIF(AJ6:AN6,"AB")</f>
        <v>0</v>
      </c>
      <c r="AQ6" s="15">
        <f t="shared" ref="AQ6:AQ12" si="19">AO6+AP6</f>
        <v>0</v>
      </c>
      <c r="AV6" s="15">
        <f>COUNTIF(AR6:AU6,"PR")</f>
        <v>0</v>
      </c>
      <c r="AW6" s="15">
        <f t="shared" ref="AW6:AW12" si="20">COUNTIF(AR6:AU6,"AB")</f>
        <v>0</v>
      </c>
      <c r="AX6" s="15">
        <f t="shared" ref="AX6:AX12" si="21">AV6+AW6</f>
        <v>0</v>
      </c>
      <c r="AY6" s="15">
        <f>AI6+AQ6+AX6</f>
        <v>0</v>
      </c>
      <c r="AZ6" s="15">
        <f>SUM(AG6,AO6,AV6)</f>
        <v>0</v>
      </c>
      <c r="BA6" s="78" t="e">
        <f t="shared" ref="BA6:BA27" si="22">AZ6/AY6*100</f>
        <v>#DIV/0!</v>
      </c>
      <c r="BD6" s="1"/>
      <c r="BF6" s="15">
        <f t="shared" si="4"/>
        <v>0</v>
      </c>
      <c r="BG6" s="15">
        <f t="shared" ref="BG6:BG12" si="23">COUNTIF(BB6:BE6,"AB")</f>
        <v>0</v>
      </c>
      <c r="BH6" s="15">
        <f t="shared" ref="BH6:BH12" si="24">BF6+BG6</f>
        <v>0</v>
      </c>
      <c r="BN6" s="15">
        <f t="shared" si="5"/>
        <v>0</v>
      </c>
      <c r="BO6" s="15">
        <f t="shared" ref="BO6:BO12" si="25">COUNTIF(BI6:BM6,"AB")</f>
        <v>0</v>
      </c>
      <c r="BP6" s="15">
        <f t="shared" ref="BP6:BP12" si="26">BN6+BO6</f>
        <v>0</v>
      </c>
      <c r="BU6" s="15">
        <f t="shared" si="6"/>
        <v>0</v>
      </c>
      <c r="BV6" s="15">
        <f t="shared" ref="BV6:BV12" si="27">COUNTIF(BQ6:BT6,"AB")</f>
        <v>0</v>
      </c>
      <c r="BW6" s="15">
        <f t="shared" ref="BW6:BW12" si="28">BU6+BV6</f>
        <v>0</v>
      </c>
      <c r="BX6" s="15">
        <f t="shared" ref="BX6:BX12" si="29">BH6+BP6+BW6</f>
        <v>0</v>
      </c>
      <c r="BY6" s="15">
        <f t="shared" ref="BY6:BY12" si="30">SUM(BF6,BN6,BU6)</f>
        <v>0</v>
      </c>
      <c r="BZ6" s="78" t="e">
        <f t="shared" ref="BZ6:BZ12" si="31">BY6/BX6*100</f>
        <v>#DIV/0!</v>
      </c>
      <c r="CA6" s="82"/>
      <c r="CG6" s="15">
        <f>COUNTIF(CB6:CF6,"PR")</f>
        <v>0</v>
      </c>
      <c r="CH6" s="15">
        <f>COUNTIF(CB6:CF6,"AB")</f>
        <v>0</v>
      </c>
      <c r="CI6" s="15">
        <f t="shared" ref="CI6:CI12" si="32">CG6+CH6</f>
        <v>0</v>
      </c>
      <c r="CN6" s="15">
        <f>COUNTIF(CJ6:CM6,"PR")</f>
        <v>0</v>
      </c>
      <c r="CO6" s="15">
        <f>COUNTIF(CJ6:CM6,"AB")</f>
        <v>0</v>
      </c>
      <c r="CP6" s="15">
        <f t="shared" ref="CP6:CP12" si="33">CN6+CO6</f>
        <v>0</v>
      </c>
      <c r="CU6" s="15">
        <f t="shared" si="7"/>
        <v>0</v>
      </c>
      <c r="CV6" s="15">
        <f t="shared" ref="CV6:CV12" si="34">COUNTIF(CQ6:CT6,"AB")</f>
        <v>0</v>
      </c>
      <c r="CW6" s="15">
        <f t="shared" ref="CW6:CW12" si="35">CU6+CV6</f>
        <v>0</v>
      </c>
      <c r="CX6" s="15">
        <f>CG6+CN6+CU6</f>
        <v>0</v>
      </c>
      <c r="CY6" s="15" t="e">
        <f>SUM(CE6,#REF!,CS6)</f>
        <v>#REF!</v>
      </c>
      <c r="CZ6" s="78" t="e">
        <f t="shared" ref="CZ6:CZ27" si="36">CY6/CX6*100</f>
        <v>#REF!</v>
      </c>
      <c r="DA6" s="82"/>
    </row>
    <row r="7" spans="1:117">
      <c r="A7" s="87"/>
      <c r="B7" s="14"/>
      <c r="H7" s="15">
        <f t="shared" si="0"/>
        <v>0</v>
      </c>
      <c r="I7" s="18">
        <f t="shared" si="8"/>
        <v>0</v>
      </c>
      <c r="J7" s="15">
        <f t="shared" si="9"/>
        <v>0</v>
      </c>
      <c r="O7" s="15">
        <f t="shared" si="1"/>
        <v>0</v>
      </c>
      <c r="P7" s="18">
        <f t="shared" si="10"/>
        <v>0</v>
      </c>
      <c r="Q7" s="15">
        <f t="shared" si="11"/>
        <v>0</v>
      </c>
      <c r="V7" s="15">
        <f t="shared" si="12"/>
        <v>0</v>
      </c>
      <c r="W7" s="15">
        <f t="shared" si="13"/>
        <v>0</v>
      </c>
      <c r="X7" s="15">
        <f t="shared" si="14"/>
        <v>0</v>
      </c>
      <c r="Y7" s="15">
        <f>J7+Q7+X7</f>
        <v>0</v>
      </c>
      <c r="Z7" s="15">
        <f>SUM(H7,O7,V7)</f>
        <v>0</v>
      </c>
      <c r="AA7" s="78" t="e">
        <f t="shared" si="15"/>
        <v>#DIV/0!</v>
      </c>
      <c r="AB7" s="82"/>
      <c r="AG7" s="15">
        <f t="shared" si="2"/>
        <v>0</v>
      </c>
      <c r="AH7" s="15">
        <f t="shared" si="16"/>
        <v>0</v>
      </c>
      <c r="AI7" s="15">
        <f t="shared" si="17"/>
        <v>0</v>
      </c>
      <c r="AO7" s="15">
        <f t="shared" si="3"/>
        <v>0</v>
      </c>
      <c r="AP7" s="15">
        <f t="shared" si="18"/>
        <v>0</v>
      </c>
      <c r="AQ7" s="15">
        <f t="shared" si="19"/>
        <v>0</v>
      </c>
      <c r="AV7" s="15">
        <f>COUNTIF(AR7:AU7,"PR")</f>
        <v>0</v>
      </c>
      <c r="AW7" s="15">
        <f t="shared" si="20"/>
        <v>0</v>
      </c>
      <c r="AX7" s="15">
        <f t="shared" si="21"/>
        <v>0</v>
      </c>
      <c r="AY7" s="15">
        <f>AI7+AQ7+AX7</f>
        <v>0</v>
      </c>
      <c r="AZ7" s="15">
        <f>SUM(AG7,AO7,AV7)</f>
        <v>0</v>
      </c>
      <c r="BA7" s="78" t="e">
        <f t="shared" si="22"/>
        <v>#DIV/0!</v>
      </c>
      <c r="BD7" s="1"/>
      <c r="BF7" s="15">
        <f t="shared" si="4"/>
        <v>0</v>
      </c>
      <c r="BG7" s="15">
        <f t="shared" si="23"/>
        <v>0</v>
      </c>
      <c r="BH7" s="15">
        <f t="shared" si="24"/>
        <v>0</v>
      </c>
      <c r="BN7" s="15">
        <f t="shared" si="5"/>
        <v>0</v>
      </c>
      <c r="BO7" s="15">
        <f t="shared" si="25"/>
        <v>0</v>
      </c>
      <c r="BP7" s="15">
        <f t="shared" si="26"/>
        <v>0</v>
      </c>
      <c r="BU7" s="15">
        <f t="shared" si="6"/>
        <v>0</v>
      </c>
      <c r="BV7" s="15">
        <f t="shared" si="27"/>
        <v>0</v>
      </c>
      <c r="BW7" s="15">
        <f t="shared" si="28"/>
        <v>0</v>
      </c>
      <c r="BX7" s="15">
        <f t="shared" si="29"/>
        <v>0</v>
      </c>
      <c r="BY7" s="15">
        <f t="shared" si="30"/>
        <v>0</v>
      </c>
      <c r="BZ7" s="78" t="e">
        <f t="shared" si="31"/>
        <v>#DIV/0!</v>
      </c>
      <c r="CA7" s="82"/>
      <c r="CG7" s="15">
        <f>COUNTIF(CB7:CF7,"PR")</f>
        <v>0</v>
      </c>
      <c r="CH7" s="15">
        <f>COUNTIF(CB7:CF7,"AB")</f>
        <v>0</v>
      </c>
      <c r="CI7" s="15">
        <f t="shared" si="32"/>
        <v>0</v>
      </c>
      <c r="CN7" s="15">
        <f>COUNTIF(CJ7:CM7,"PR")</f>
        <v>0</v>
      </c>
      <c r="CO7" s="15">
        <f>COUNTIF(CJ7:CM7,"AB")</f>
        <v>0</v>
      </c>
      <c r="CP7" s="15">
        <f t="shared" si="33"/>
        <v>0</v>
      </c>
      <c r="CU7" s="15">
        <f t="shared" si="7"/>
        <v>0</v>
      </c>
      <c r="CV7" s="15">
        <f t="shared" si="34"/>
        <v>0</v>
      </c>
      <c r="CW7" s="15">
        <f t="shared" si="35"/>
        <v>0</v>
      </c>
      <c r="CX7" s="15">
        <f>CG7+CN7+CU7</f>
        <v>0</v>
      </c>
      <c r="CY7" s="15" t="e">
        <f>SUM(CE7,#REF!,CS7)</f>
        <v>#REF!</v>
      </c>
      <c r="CZ7" s="78" t="e">
        <f t="shared" si="36"/>
        <v>#REF!</v>
      </c>
      <c r="DA7" s="82"/>
    </row>
    <row r="8" spans="1:117">
      <c r="A8" s="87"/>
      <c r="B8" s="14"/>
      <c r="H8" s="15">
        <f t="shared" si="0"/>
        <v>0</v>
      </c>
      <c r="I8" s="18">
        <f t="shared" si="8"/>
        <v>0</v>
      </c>
      <c r="J8" s="15">
        <f t="shared" si="9"/>
        <v>0</v>
      </c>
      <c r="O8" s="15">
        <f t="shared" si="1"/>
        <v>0</v>
      </c>
      <c r="P8" s="18">
        <f t="shared" si="10"/>
        <v>0</v>
      </c>
      <c r="Q8" s="15">
        <f t="shared" si="11"/>
        <v>0</v>
      </c>
      <c r="V8" s="15">
        <f t="shared" si="12"/>
        <v>0</v>
      </c>
      <c r="W8" s="15">
        <f t="shared" si="13"/>
        <v>0</v>
      </c>
      <c r="X8" s="15">
        <f t="shared" si="14"/>
        <v>0</v>
      </c>
      <c r="Y8" s="15">
        <f>J8+Q8+X8</f>
        <v>0</v>
      </c>
      <c r="Z8" s="15">
        <f>SUM(H8,O8,V8)</f>
        <v>0</v>
      </c>
      <c r="AA8" s="78" t="e">
        <f t="shared" si="15"/>
        <v>#DIV/0!</v>
      </c>
      <c r="AB8" s="82"/>
      <c r="AG8" s="15">
        <f t="shared" si="2"/>
        <v>0</v>
      </c>
      <c r="AH8" s="15">
        <f t="shared" si="16"/>
        <v>0</v>
      </c>
      <c r="AI8" s="15">
        <f t="shared" si="17"/>
        <v>0</v>
      </c>
      <c r="AO8" s="15">
        <f t="shared" si="3"/>
        <v>0</v>
      </c>
      <c r="AP8" s="15">
        <f t="shared" si="18"/>
        <v>0</v>
      </c>
      <c r="AQ8" s="15">
        <f t="shared" si="19"/>
        <v>0</v>
      </c>
      <c r="AV8" s="15">
        <f>COUNTIF(AR8:AU8,"PR")</f>
        <v>0</v>
      </c>
      <c r="AW8" s="15">
        <f t="shared" si="20"/>
        <v>0</v>
      </c>
      <c r="AX8" s="15">
        <f t="shared" si="21"/>
        <v>0</v>
      </c>
      <c r="AY8" s="15">
        <f>AI8+AQ8+AX8</f>
        <v>0</v>
      </c>
      <c r="AZ8" s="15">
        <f>SUM(AG8,AO8,AV8)</f>
        <v>0</v>
      </c>
      <c r="BA8" s="78" t="e">
        <f t="shared" si="22"/>
        <v>#DIV/0!</v>
      </c>
      <c r="BD8" s="1"/>
      <c r="BF8" s="15">
        <f t="shared" si="4"/>
        <v>0</v>
      </c>
      <c r="BG8" s="15">
        <f t="shared" si="23"/>
        <v>0</v>
      </c>
      <c r="BH8" s="15">
        <f t="shared" si="24"/>
        <v>0</v>
      </c>
      <c r="BN8" s="15">
        <f t="shared" si="5"/>
        <v>0</v>
      </c>
      <c r="BO8" s="15">
        <f t="shared" si="25"/>
        <v>0</v>
      </c>
      <c r="BP8" s="15">
        <f t="shared" si="26"/>
        <v>0</v>
      </c>
      <c r="BU8" s="15">
        <f t="shared" si="6"/>
        <v>0</v>
      </c>
      <c r="BV8" s="15">
        <f t="shared" si="27"/>
        <v>0</v>
      </c>
      <c r="BW8" s="15">
        <f t="shared" si="28"/>
        <v>0</v>
      </c>
      <c r="BX8" s="15">
        <f t="shared" si="29"/>
        <v>0</v>
      </c>
      <c r="BY8" s="15">
        <f t="shared" si="30"/>
        <v>0</v>
      </c>
      <c r="BZ8" s="78" t="e">
        <f t="shared" si="31"/>
        <v>#DIV/0!</v>
      </c>
      <c r="CA8" s="82"/>
      <c r="CG8" s="15">
        <f>COUNTIF(CB8:CF8,"PR")</f>
        <v>0</v>
      </c>
      <c r="CH8" s="15">
        <f>COUNTIF(CB8:CF8,"AB")</f>
        <v>0</v>
      </c>
      <c r="CI8" s="15">
        <f t="shared" si="32"/>
        <v>0</v>
      </c>
      <c r="CN8" s="15">
        <f>COUNTIF(CJ8:CM8,"PR")</f>
        <v>0</v>
      </c>
      <c r="CO8" s="15">
        <f>COUNTIF(CJ8:CM8,"AB")</f>
        <v>0</v>
      </c>
      <c r="CP8" s="15">
        <f t="shared" si="33"/>
        <v>0</v>
      </c>
      <c r="CU8" s="15">
        <f t="shared" si="7"/>
        <v>0</v>
      </c>
      <c r="CV8" s="15">
        <f t="shared" si="34"/>
        <v>0</v>
      </c>
      <c r="CW8" s="15">
        <f t="shared" si="35"/>
        <v>0</v>
      </c>
      <c r="CX8" s="15">
        <f>CG8+CN8+CU8</f>
        <v>0</v>
      </c>
      <c r="CY8" s="15" t="e">
        <f>SUM(CE8,#REF!,CS8)</f>
        <v>#REF!</v>
      </c>
      <c r="CZ8" s="78" t="e">
        <f t="shared" si="36"/>
        <v>#REF!</v>
      </c>
      <c r="DA8" s="82"/>
    </row>
    <row r="9" spans="1:117">
      <c r="A9" s="87"/>
      <c r="B9" s="14"/>
      <c r="H9" s="15">
        <f t="shared" si="0"/>
        <v>0</v>
      </c>
      <c r="I9" s="18">
        <f t="shared" si="8"/>
        <v>0</v>
      </c>
      <c r="J9" s="15">
        <f t="shared" si="9"/>
        <v>0</v>
      </c>
      <c r="O9" s="15">
        <f t="shared" si="1"/>
        <v>0</v>
      </c>
      <c r="P9" s="18">
        <f t="shared" si="10"/>
        <v>0</v>
      </c>
      <c r="Q9" s="15">
        <f t="shared" si="11"/>
        <v>0</v>
      </c>
      <c r="V9" s="15">
        <f t="shared" si="12"/>
        <v>0</v>
      </c>
      <c r="W9" s="15">
        <f t="shared" si="13"/>
        <v>0</v>
      </c>
      <c r="X9" s="15">
        <f t="shared" si="14"/>
        <v>0</v>
      </c>
      <c r="Y9" s="15">
        <f>J9+Q9+X9</f>
        <v>0</v>
      </c>
      <c r="Z9" s="15">
        <f>SUM(H9,O9,V9)</f>
        <v>0</v>
      </c>
      <c r="AA9" s="78" t="e">
        <f t="shared" si="15"/>
        <v>#DIV/0!</v>
      </c>
      <c r="AB9" s="82"/>
      <c r="AG9" s="15">
        <f t="shared" si="2"/>
        <v>0</v>
      </c>
      <c r="AH9" s="15">
        <f t="shared" si="16"/>
        <v>0</v>
      </c>
      <c r="AI9" s="15">
        <f t="shared" si="17"/>
        <v>0</v>
      </c>
      <c r="AO9" s="15">
        <f t="shared" si="3"/>
        <v>0</v>
      </c>
      <c r="AP9" s="15">
        <f t="shared" si="18"/>
        <v>0</v>
      </c>
      <c r="AQ9" s="15">
        <f t="shared" si="19"/>
        <v>0</v>
      </c>
      <c r="AV9" s="15">
        <f>COUNTIF(AR9:AU9,"PR")</f>
        <v>0</v>
      </c>
      <c r="AW9" s="15">
        <f t="shared" si="20"/>
        <v>0</v>
      </c>
      <c r="AX9" s="15">
        <f t="shared" si="21"/>
        <v>0</v>
      </c>
      <c r="AY9" s="15">
        <f>AI9+AQ9+AX9</f>
        <v>0</v>
      </c>
      <c r="AZ9" s="15">
        <f>SUM(AG9,AO9,AV9)</f>
        <v>0</v>
      </c>
      <c r="BA9" s="78" t="e">
        <f t="shared" si="22"/>
        <v>#DIV/0!</v>
      </c>
      <c r="BD9" s="1"/>
      <c r="BF9" s="15">
        <f t="shared" si="4"/>
        <v>0</v>
      </c>
      <c r="BG9" s="15">
        <f t="shared" si="23"/>
        <v>0</v>
      </c>
      <c r="BH9" s="15">
        <f t="shared" si="24"/>
        <v>0</v>
      </c>
      <c r="BN9" s="15">
        <f t="shared" si="5"/>
        <v>0</v>
      </c>
      <c r="BO9" s="15">
        <f t="shared" si="25"/>
        <v>0</v>
      </c>
      <c r="BP9" s="15">
        <f t="shared" si="26"/>
        <v>0</v>
      </c>
      <c r="BU9" s="15">
        <f t="shared" si="6"/>
        <v>0</v>
      </c>
      <c r="BV9" s="15">
        <f t="shared" si="27"/>
        <v>0</v>
      </c>
      <c r="BW9" s="15">
        <f t="shared" si="28"/>
        <v>0</v>
      </c>
      <c r="BX9" s="15">
        <f t="shared" si="29"/>
        <v>0</v>
      </c>
      <c r="BY9" s="15">
        <f t="shared" si="30"/>
        <v>0</v>
      </c>
      <c r="BZ9" s="78" t="e">
        <f t="shared" si="31"/>
        <v>#DIV/0!</v>
      </c>
      <c r="CA9" s="82"/>
      <c r="CG9" s="15">
        <f>COUNTIF(CB9:CF9,"PR")</f>
        <v>0</v>
      </c>
      <c r="CH9" s="15">
        <f>COUNTIF(CB9:CF9,"AB")</f>
        <v>0</v>
      </c>
      <c r="CI9" s="15">
        <f t="shared" si="32"/>
        <v>0</v>
      </c>
      <c r="CN9" s="15">
        <f>COUNTIF(CJ9:CM9,"PR")</f>
        <v>0</v>
      </c>
      <c r="CO9" s="15">
        <f>COUNTIF(CJ9:CM9,"AB")</f>
        <v>0</v>
      </c>
      <c r="CP9" s="15">
        <f t="shared" si="33"/>
        <v>0</v>
      </c>
      <c r="CU9" s="15">
        <f t="shared" si="7"/>
        <v>0</v>
      </c>
      <c r="CV9" s="15">
        <f t="shared" si="34"/>
        <v>0</v>
      </c>
      <c r="CW9" s="15">
        <f t="shared" si="35"/>
        <v>0</v>
      </c>
      <c r="CX9" s="15">
        <f>CG9+CN9+CU9</f>
        <v>0</v>
      </c>
      <c r="CY9" s="15" t="e">
        <f>SUM(CE9,#REF!,CS9)</f>
        <v>#REF!</v>
      </c>
      <c r="CZ9" s="78" t="e">
        <f t="shared" si="36"/>
        <v>#REF!</v>
      </c>
      <c r="DA9" s="82"/>
    </row>
    <row r="10" spans="1:117">
      <c r="A10" s="87"/>
      <c r="B10" s="14"/>
      <c r="H10" s="15">
        <f t="shared" si="0"/>
        <v>0</v>
      </c>
      <c r="I10" s="18">
        <f t="shared" si="8"/>
        <v>0</v>
      </c>
      <c r="J10" s="15">
        <f t="shared" si="9"/>
        <v>0</v>
      </c>
      <c r="O10" s="15">
        <f t="shared" si="1"/>
        <v>0</v>
      </c>
      <c r="P10" s="18">
        <f t="shared" si="10"/>
        <v>0</v>
      </c>
      <c r="Q10" s="15">
        <f t="shared" si="11"/>
        <v>0</v>
      </c>
      <c r="V10" s="15">
        <f t="shared" si="12"/>
        <v>0</v>
      </c>
      <c r="W10" s="15">
        <f t="shared" si="13"/>
        <v>0</v>
      </c>
      <c r="X10" s="15">
        <f t="shared" si="14"/>
        <v>0</v>
      </c>
      <c r="Y10" s="15">
        <f>J10+Q10+X10</f>
        <v>0</v>
      </c>
      <c r="Z10" s="15">
        <f>SUM(H10,O10,V10)</f>
        <v>0</v>
      </c>
      <c r="AA10" s="78" t="e">
        <f t="shared" si="15"/>
        <v>#DIV/0!</v>
      </c>
      <c r="AB10" s="82"/>
      <c r="AG10" s="15">
        <f t="shared" si="2"/>
        <v>0</v>
      </c>
      <c r="AH10" s="15">
        <f t="shared" si="16"/>
        <v>0</v>
      </c>
      <c r="AI10" s="15">
        <f t="shared" si="17"/>
        <v>0</v>
      </c>
      <c r="AO10" s="15">
        <f t="shared" si="3"/>
        <v>0</v>
      </c>
      <c r="AP10" s="15">
        <f t="shared" si="18"/>
        <v>0</v>
      </c>
      <c r="AQ10" s="15">
        <f t="shared" si="19"/>
        <v>0</v>
      </c>
      <c r="AV10" s="15">
        <f>COUNTIF(AR10:AU10,"PR")</f>
        <v>0</v>
      </c>
      <c r="AW10" s="15">
        <f t="shared" si="20"/>
        <v>0</v>
      </c>
      <c r="AX10" s="15">
        <f t="shared" si="21"/>
        <v>0</v>
      </c>
      <c r="AY10" s="15">
        <f>AI10+AQ10+AX10</f>
        <v>0</v>
      </c>
      <c r="AZ10" s="15">
        <f>SUM(AG10,AO10,AV10)</f>
        <v>0</v>
      </c>
      <c r="BA10" s="78" t="e">
        <f t="shared" si="22"/>
        <v>#DIV/0!</v>
      </c>
      <c r="BD10" s="1"/>
      <c r="BF10" s="15">
        <f t="shared" si="4"/>
        <v>0</v>
      </c>
      <c r="BG10" s="15">
        <f t="shared" si="23"/>
        <v>0</v>
      </c>
      <c r="BH10" s="15">
        <f t="shared" si="24"/>
        <v>0</v>
      </c>
      <c r="BN10" s="15">
        <f t="shared" si="5"/>
        <v>0</v>
      </c>
      <c r="BO10" s="15">
        <f t="shared" si="25"/>
        <v>0</v>
      </c>
      <c r="BP10" s="15">
        <f t="shared" si="26"/>
        <v>0</v>
      </c>
      <c r="BU10" s="15">
        <f t="shared" si="6"/>
        <v>0</v>
      </c>
      <c r="BV10" s="15">
        <f t="shared" si="27"/>
        <v>0</v>
      </c>
      <c r="BW10" s="15">
        <f t="shared" si="28"/>
        <v>0</v>
      </c>
      <c r="BX10" s="15">
        <f t="shared" si="29"/>
        <v>0</v>
      </c>
      <c r="BY10" s="15">
        <f t="shared" si="30"/>
        <v>0</v>
      </c>
      <c r="BZ10" s="78" t="e">
        <f t="shared" si="31"/>
        <v>#DIV/0!</v>
      </c>
      <c r="CA10" s="82"/>
      <c r="CG10" s="15">
        <f>COUNTIF(CB10:CF10,"PR")</f>
        <v>0</v>
      </c>
      <c r="CH10" s="15">
        <f>COUNTIF(CB10:CF10,"AB")</f>
        <v>0</v>
      </c>
      <c r="CI10" s="15">
        <f t="shared" si="32"/>
        <v>0</v>
      </c>
      <c r="CN10" s="15">
        <f>COUNTIF(CJ10:CM10,"PR")</f>
        <v>0</v>
      </c>
      <c r="CO10" s="15">
        <f>COUNTIF(CJ10:CM10,"AB")</f>
        <v>0</v>
      </c>
      <c r="CP10" s="15">
        <f t="shared" si="33"/>
        <v>0</v>
      </c>
      <c r="CU10" s="15">
        <f t="shared" si="7"/>
        <v>0</v>
      </c>
      <c r="CV10" s="15">
        <f t="shared" si="34"/>
        <v>0</v>
      </c>
      <c r="CW10" s="15">
        <f t="shared" si="35"/>
        <v>0</v>
      </c>
      <c r="CX10" s="15">
        <f>CG10+CN10+CU10</f>
        <v>0</v>
      </c>
      <c r="CY10" s="15" t="e">
        <f>SUM(CE10,#REF!,CS10)</f>
        <v>#REF!</v>
      </c>
      <c r="CZ10" s="78" t="e">
        <f t="shared" si="36"/>
        <v>#REF!</v>
      </c>
      <c r="DA10" s="82"/>
    </row>
    <row r="11" spans="1:117">
      <c r="A11" s="87"/>
      <c r="B11" s="14"/>
      <c r="H11" s="15">
        <f t="shared" si="0"/>
        <v>0</v>
      </c>
      <c r="I11" s="18">
        <f t="shared" si="8"/>
        <v>0</v>
      </c>
      <c r="J11" s="15">
        <f t="shared" si="9"/>
        <v>0</v>
      </c>
      <c r="O11" s="15">
        <f t="shared" si="1"/>
        <v>0</v>
      </c>
      <c r="P11" s="18">
        <f t="shared" si="10"/>
        <v>0</v>
      </c>
      <c r="Q11" s="15">
        <f t="shared" si="11"/>
        <v>0</v>
      </c>
      <c r="R11" s="76"/>
      <c r="S11" s="72"/>
      <c r="T11" s="72"/>
      <c r="U11" s="73"/>
      <c r="V11" s="15">
        <f t="shared" si="12"/>
        <v>0</v>
      </c>
      <c r="W11" s="15">
        <f t="shared" si="13"/>
        <v>0</v>
      </c>
      <c r="X11" s="15">
        <f t="shared" si="14"/>
        <v>0</v>
      </c>
      <c r="Y11" s="15">
        <f>J11+Q11+X11</f>
        <v>0</v>
      </c>
      <c r="Z11" s="15">
        <f>SUM(H11,O11,V11)</f>
        <v>0</v>
      </c>
      <c r="AA11" s="78" t="e">
        <f t="shared" si="15"/>
        <v>#DIV/0!</v>
      </c>
      <c r="AB11" s="83"/>
      <c r="AC11" s="76"/>
      <c r="AD11" s="72"/>
      <c r="AE11" s="72"/>
      <c r="AF11" s="72"/>
      <c r="AG11" s="15">
        <f t="shared" si="2"/>
        <v>0</v>
      </c>
      <c r="AH11" s="15">
        <f t="shared" si="16"/>
        <v>0</v>
      </c>
      <c r="AI11" s="15">
        <f t="shared" si="17"/>
        <v>0</v>
      </c>
      <c r="AJ11" s="76"/>
      <c r="AK11" s="72"/>
      <c r="AL11" s="72"/>
      <c r="AM11" s="72"/>
      <c r="AN11" s="72"/>
      <c r="AO11" s="15">
        <f t="shared" si="3"/>
        <v>0</v>
      </c>
      <c r="AP11" s="15">
        <f t="shared" si="18"/>
        <v>0</v>
      </c>
      <c r="AQ11" s="15">
        <f t="shared" si="19"/>
        <v>0</v>
      </c>
      <c r="AR11" s="70"/>
      <c r="AS11" s="70"/>
      <c r="AT11" s="70"/>
      <c r="AU11" s="70"/>
      <c r="AV11" s="15">
        <f>COUNTIF(AR11:AU11,"PR")</f>
        <v>0</v>
      </c>
      <c r="AW11" s="15">
        <f t="shared" si="20"/>
        <v>0</v>
      </c>
      <c r="AX11" s="15">
        <f t="shared" si="21"/>
        <v>0</v>
      </c>
      <c r="AY11" s="15">
        <f>AI11+AQ11+AX11</f>
        <v>0</v>
      </c>
      <c r="AZ11" s="15">
        <f>SUM(AG11,AO11,AV11)</f>
        <v>0</v>
      </c>
      <c r="BA11" s="78" t="e">
        <f t="shared" si="22"/>
        <v>#DIV/0!</v>
      </c>
      <c r="BD11" s="1"/>
      <c r="BF11" s="15">
        <f t="shared" si="4"/>
        <v>0</v>
      </c>
      <c r="BG11" s="15">
        <f t="shared" si="23"/>
        <v>0</v>
      </c>
      <c r="BH11" s="15">
        <f t="shared" si="24"/>
        <v>0</v>
      </c>
      <c r="BN11" s="15">
        <f t="shared" si="5"/>
        <v>0</v>
      </c>
      <c r="BO11" s="15">
        <f t="shared" si="25"/>
        <v>0</v>
      </c>
      <c r="BP11" s="15">
        <f t="shared" si="26"/>
        <v>0</v>
      </c>
      <c r="BU11" s="15">
        <f t="shared" si="6"/>
        <v>0</v>
      </c>
      <c r="BV11" s="15">
        <f t="shared" si="27"/>
        <v>0</v>
      </c>
      <c r="BW11" s="15">
        <f t="shared" si="28"/>
        <v>0</v>
      </c>
      <c r="BX11" s="15">
        <f t="shared" si="29"/>
        <v>0</v>
      </c>
      <c r="BY11" s="15">
        <f t="shared" si="30"/>
        <v>0</v>
      </c>
      <c r="BZ11" s="78" t="e">
        <f t="shared" si="31"/>
        <v>#DIV/0!</v>
      </c>
      <c r="CA11" s="83"/>
      <c r="CG11" s="15">
        <f>COUNTIF(CB11:CF11,"PR")</f>
        <v>0</v>
      </c>
      <c r="CH11" s="15">
        <f>COUNTIF(CB11:CF11,"AB")</f>
        <v>0</v>
      </c>
      <c r="CI11" s="15">
        <f t="shared" si="32"/>
        <v>0</v>
      </c>
      <c r="CN11" s="15">
        <f>COUNTIF(CJ11:CM11,"PR")</f>
        <v>0</v>
      </c>
      <c r="CO11" s="15">
        <f>COUNTIF(CJ11:CM11,"AB")</f>
        <v>0</v>
      </c>
      <c r="CP11" s="15">
        <f t="shared" si="33"/>
        <v>0</v>
      </c>
      <c r="CU11" s="15">
        <f t="shared" si="7"/>
        <v>0</v>
      </c>
      <c r="CV11" s="15">
        <f t="shared" si="34"/>
        <v>0</v>
      </c>
      <c r="CW11" s="15">
        <f t="shared" si="35"/>
        <v>0</v>
      </c>
      <c r="CX11" s="15">
        <f>CG11+CN11+CU11</f>
        <v>0</v>
      </c>
      <c r="CY11" s="15" t="e">
        <f>SUM(CE11,#REF!,CS11)</f>
        <v>#REF!</v>
      </c>
      <c r="CZ11" s="78" t="e">
        <f t="shared" si="36"/>
        <v>#REF!</v>
      </c>
      <c r="DA11" s="83"/>
    </row>
    <row r="12" spans="1:117">
      <c r="A12" s="91"/>
      <c r="B12" s="14"/>
      <c r="H12" s="15">
        <f t="shared" si="0"/>
        <v>0</v>
      </c>
      <c r="I12" s="18">
        <f t="shared" si="8"/>
        <v>0</v>
      </c>
      <c r="J12" s="15">
        <f t="shared" si="9"/>
        <v>0</v>
      </c>
      <c r="O12" s="15">
        <f t="shared" si="1"/>
        <v>0</v>
      </c>
      <c r="P12" s="18">
        <f t="shared" si="10"/>
        <v>0</v>
      </c>
      <c r="Q12" s="15">
        <f t="shared" si="11"/>
        <v>0</v>
      </c>
      <c r="V12" s="15">
        <f t="shared" si="12"/>
        <v>0</v>
      </c>
      <c r="W12" s="15">
        <f t="shared" si="13"/>
        <v>0</v>
      </c>
      <c r="X12" s="15">
        <f t="shared" si="14"/>
        <v>0</v>
      </c>
      <c r="Y12" s="15">
        <f>J12+Q12+X12</f>
        <v>0</v>
      </c>
      <c r="Z12" s="15">
        <f>SUM(H12,O12,V12)</f>
        <v>0</v>
      </c>
      <c r="AA12" s="78" t="e">
        <f t="shared" si="15"/>
        <v>#DIV/0!</v>
      </c>
      <c r="AB12" s="78"/>
      <c r="AG12" s="15">
        <f t="shared" si="2"/>
        <v>0</v>
      </c>
      <c r="AH12" s="15">
        <f t="shared" si="16"/>
        <v>0</v>
      </c>
      <c r="AI12" s="15">
        <f t="shared" si="17"/>
        <v>0</v>
      </c>
      <c r="AO12" s="15">
        <f t="shared" si="3"/>
        <v>0</v>
      </c>
      <c r="AP12" s="15">
        <f t="shared" si="18"/>
        <v>0</v>
      </c>
      <c r="AQ12" s="15">
        <f t="shared" si="19"/>
        <v>0</v>
      </c>
      <c r="AV12" s="15">
        <f>COUNTIF(AR12:AU12,"PR")</f>
        <v>0</v>
      </c>
      <c r="AW12" s="15">
        <f t="shared" si="20"/>
        <v>0</v>
      </c>
      <c r="AX12" s="15">
        <f t="shared" si="21"/>
        <v>0</v>
      </c>
      <c r="AY12" s="15">
        <f>AI12+AQ12+AX12</f>
        <v>0</v>
      </c>
      <c r="AZ12" s="15">
        <f>SUM(AG12,AO12,AV12)</f>
        <v>0</v>
      </c>
      <c r="BA12" s="78" t="e">
        <f t="shared" si="22"/>
        <v>#DIV/0!</v>
      </c>
      <c r="BD12" s="1"/>
      <c r="BF12" s="15">
        <f t="shared" si="4"/>
        <v>0</v>
      </c>
      <c r="BG12" s="15">
        <f t="shared" si="23"/>
        <v>0</v>
      </c>
      <c r="BH12" s="15">
        <f t="shared" si="24"/>
        <v>0</v>
      </c>
      <c r="BN12" s="15">
        <f t="shared" si="5"/>
        <v>0</v>
      </c>
      <c r="BO12" s="15">
        <f t="shared" si="25"/>
        <v>0</v>
      </c>
      <c r="BP12" s="15">
        <f t="shared" si="26"/>
        <v>0</v>
      </c>
      <c r="BU12" s="15">
        <f t="shared" si="6"/>
        <v>0</v>
      </c>
      <c r="BV12" s="15">
        <f t="shared" si="27"/>
        <v>0</v>
      </c>
      <c r="BW12" s="15">
        <f t="shared" si="28"/>
        <v>0</v>
      </c>
      <c r="BX12" s="15">
        <f t="shared" si="29"/>
        <v>0</v>
      </c>
      <c r="BY12" s="15">
        <f t="shared" si="30"/>
        <v>0</v>
      </c>
      <c r="BZ12" s="78" t="e">
        <f t="shared" si="31"/>
        <v>#DIV/0!</v>
      </c>
      <c r="CA12" s="78"/>
      <c r="CG12" s="15">
        <f>COUNTIF(CB12:CF12,"PR")</f>
        <v>0</v>
      </c>
      <c r="CH12" s="15">
        <f>COUNTIF(CB12:CF12,"AB")</f>
        <v>0</v>
      </c>
      <c r="CI12" s="15">
        <f t="shared" si="32"/>
        <v>0</v>
      </c>
      <c r="CN12" s="15">
        <f>COUNTIF(CJ12:CM12,"PR")</f>
        <v>0</v>
      </c>
      <c r="CO12" s="15">
        <f>COUNTIF(CJ12:CM12,"AB")</f>
        <v>0</v>
      </c>
      <c r="CP12" s="15">
        <f t="shared" si="33"/>
        <v>0</v>
      </c>
      <c r="CU12" s="15">
        <f t="shared" si="7"/>
        <v>0</v>
      </c>
      <c r="CV12" s="15">
        <f t="shared" si="34"/>
        <v>0</v>
      </c>
      <c r="CW12" s="15">
        <f t="shared" si="35"/>
        <v>0</v>
      </c>
      <c r="CX12" s="15">
        <f>CG12+CN12+CU12</f>
        <v>0</v>
      </c>
      <c r="CY12" s="15" t="e">
        <f>SUM(CE12,#REF!,CS12)</f>
        <v>#REF!</v>
      </c>
      <c r="CZ12" s="78" t="e">
        <f t="shared" si="36"/>
        <v>#REF!</v>
      </c>
      <c r="DA12" s="78"/>
    </row>
    <row r="13" spans="1:117" s="8" customFormat="1">
      <c r="A13" s="90"/>
      <c r="H13" s="11">
        <f>SUM(H5:H12)</f>
        <v>0</v>
      </c>
      <c r="I13" s="11"/>
      <c r="J13" s="11">
        <f>SUM(J5:J12)</f>
        <v>0</v>
      </c>
      <c r="O13" s="11">
        <f>SUM(O5:O12)</f>
        <v>0</v>
      </c>
      <c r="P13" s="11"/>
      <c r="Q13" s="11">
        <f>SUM(Q5:Q12)</f>
        <v>0</v>
      </c>
      <c r="V13" s="11">
        <f>SUM(V5:V12)</f>
        <v>0</v>
      </c>
      <c r="W13" s="11"/>
      <c r="X13" s="11">
        <f>SUM(X5:X12)</f>
        <v>0</v>
      </c>
      <c r="Y13" s="11">
        <f>SUM(Y5:Y12)</f>
        <v>0</v>
      </c>
      <c r="Z13" s="11"/>
      <c r="AG13" s="11">
        <f>SUM(AG5:AG12)</f>
        <v>0</v>
      </c>
      <c r="AH13" s="11"/>
      <c r="AI13" s="11">
        <f>SUM(AI5:AI12)</f>
        <v>0</v>
      </c>
      <c r="AO13" s="11">
        <f>SUM(AO5:AO12)</f>
        <v>0</v>
      </c>
      <c r="AP13" s="11"/>
      <c r="AQ13" s="11">
        <f>SUM(AQ5:AQ12)</f>
        <v>0</v>
      </c>
      <c r="AV13" s="11">
        <f>SUM(AV5:AV12)</f>
        <v>0</v>
      </c>
      <c r="AW13" s="11"/>
      <c r="AX13" s="11">
        <f>SUM(AX5:AX12)</f>
        <v>0</v>
      </c>
      <c r="AY13" s="11">
        <f>SUM(AY5:AY12)</f>
        <v>0</v>
      </c>
      <c r="AZ13" s="11">
        <f>SUM(AG13,AO13,AV13)</f>
        <v>0</v>
      </c>
      <c r="BD13" s="85"/>
      <c r="BF13" s="11">
        <f>SUM(BF5:BF12)</f>
        <v>0</v>
      </c>
      <c r="BG13" s="11"/>
      <c r="BH13" s="11">
        <f>SUM(BH5:BH12)</f>
        <v>0</v>
      </c>
      <c r="BN13" s="11">
        <f>SUM(BN5:BN12)</f>
        <v>0</v>
      </c>
      <c r="BO13" s="11"/>
      <c r="BP13" s="11">
        <f>SUM(BP5:BP12)</f>
        <v>0</v>
      </c>
      <c r="BU13" s="11">
        <f>SUM(BU5:BU12)</f>
        <v>0</v>
      </c>
      <c r="BV13" s="11"/>
      <c r="BW13" s="11">
        <f>SUM(BW5:BW12)</f>
        <v>0</v>
      </c>
      <c r="BX13" s="11">
        <f>SUM(BX5:BX12)</f>
        <v>0</v>
      </c>
      <c r="BY13" s="11"/>
      <c r="CG13" s="11">
        <f>SUM(CG5:CG12)</f>
        <v>0</v>
      </c>
      <c r="CH13" s="11"/>
      <c r="CI13" s="11">
        <f>SUM(CI5:CI12)</f>
        <v>0</v>
      </c>
      <c r="CN13" s="11">
        <f>SUM(CN5:CN12)</f>
        <v>0</v>
      </c>
      <c r="CO13" s="11"/>
      <c r="CP13" s="11">
        <f>SUM(CP5:CP12)</f>
        <v>0</v>
      </c>
      <c r="CU13" s="11">
        <f>SUM(CU5:CU12)</f>
        <v>0</v>
      </c>
      <c r="CV13" s="11"/>
      <c r="CW13" s="11">
        <f>SUM(CW5:CW12)</f>
        <v>0</v>
      </c>
      <c r="CX13" s="11">
        <f>SUM(CX5:CX12)</f>
        <v>0</v>
      </c>
      <c r="CY13" s="11"/>
    </row>
    <row r="14" spans="1:117" s="8" customFormat="1">
      <c r="A14" s="90" t="s">
        <v>73</v>
      </c>
      <c r="H14" s="11"/>
      <c r="I14" s="11"/>
      <c r="J14" s="11"/>
      <c r="O14" s="11"/>
      <c r="P14" s="11"/>
      <c r="Q14" s="11"/>
      <c r="V14" s="11"/>
      <c r="W14" s="11"/>
      <c r="X14" s="11"/>
      <c r="Y14" s="11"/>
      <c r="Z14" s="11"/>
      <c r="AG14" s="11"/>
      <c r="AH14" s="11"/>
      <c r="AI14" s="11"/>
      <c r="AO14" s="11"/>
      <c r="AP14" s="11"/>
      <c r="AQ14" s="11"/>
      <c r="AV14" s="11"/>
      <c r="AW14" s="11"/>
      <c r="AX14" s="11"/>
      <c r="AY14" s="11"/>
      <c r="AZ14" s="11"/>
      <c r="BA14" s="11"/>
      <c r="BD14" s="85"/>
      <c r="BF14" s="11"/>
      <c r="BG14" s="11"/>
      <c r="BH14" s="11"/>
      <c r="BN14" s="11"/>
      <c r="BO14" s="11"/>
      <c r="BP14" s="11"/>
      <c r="BU14" s="11"/>
      <c r="BV14" s="11"/>
      <c r="BW14" s="11"/>
      <c r="BX14" s="11"/>
      <c r="BY14" s="11"/>
      <c r="CG14" s="11"/>
      <c r="CH14" s="11"/>
      <c r="CI14" s="11"/>
      <c r="CN14" s="11"/>
      <c r="CO14" s="11"/>
      <c r="CP14" s="11"/>
      <c r="CU14" s="11"/>
      <c r="CV14" s="11"/>
      <c r="CW14" s="11"/>
      <c r="CX14" s="11"/>
      <c r="CY14" s="11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</row>
    <row r="15" spans="1:117">
      <c r="A15" s="87"/>
      <c r="B15" s="14"/>
      <c r="H15" s="15">
        <f t="shared" ref="H15:H19" si="37">COUNTIF(C15:G15,"PR")</f>
        <v>0</v>
      </c>
      <c r="I15" s="18">
        <f>COUNTIF(C15:G15,"AB")</f>
        <v>0</v>
      </c>
      <c r="J15" s="15">
        <f t="shared" ref="J15:J19" si="38">H15+I15</f>
        <v>0</v>
      </c>
      <c r="O15" s="15">
        <f t="shared" si="1"/>
        <v>0</v>
      </c>
      <c r="P15" s="18">
        <f t="shared" ref="P15:P19" si="39">COUNTIF(K15:N15,"AB")</f>
        <v>0</v>
      </c>
      <c r="Q15" s="15">
        <f t="shared" ref="Q15:Q19" si="40">O15+P15</f>
        <v>0</v>
      </c>
      <c r="U15" s="73"/>
      <c r="V15" s="15">
        <f>COUNTIF(R15:U15,"PR")</f>
        <v>0</v>
      </c>
      <c r="W15" s="15">
        <f>COUNTIF(R15:U15,"AB")</f>
        <v>0</v>
      </c>
      <c r="X15" s="15">
        <f>V15+W15</f>
        <v>0</v>
      </c>
      <c r="Y15" s="15">
        <f>J15+Q15+X15</f>
        <v>0</v>
      </c>
      <c r="Z15" s="15">
        <f>SUM(H15,O15,V15)</f>
        <v>0</v>
      </c>
      <c r="AA15" s="78" t="e">
        <f t="shared" si="15"/>
        <v>#DIV/0!</v>
      </c>
      <c r="AB15" s="83"/>
      <c r="AG15" s="15">
        <f t="shared" si="2"/>
        <v>0</v>
      </c>
      <c r="AH15" s="15">
        <f t="shared" ref="AH15:AH31" si="41">COUNTIF(AC15:AF15,"AB")</f>
        <v>0</v>
      </c>
      <c r="AI15" s="15">
        <f t="shared" ref="AI15:AI31" si="42">AG15+AH15</f>
        <v>0</v>
      </c>
      <c r="AO15" s="15">
        <f t="shared" si="3"/>
        <v>0</v>
      </c>
      <c r="AP15" s="15">
        <f t="shared" ref="AP15:AP31" si="43">COUNTIF(AJ15:AN15,"AB")</f>
        <v>0</v>
      </c>
      <c r="AQ15" s="15">
        <f t="shared" ref="AQ15:AQ31" si="44">AO15+AP15</f>
        <v>0</v>
      </c>
      <c r="AV15" s="15">
        <f>COUNTIF(AR15:AU15,"PR")</f>
        <v>0</v>
      </c>
      <c r="AW15" s="15">
        <f>COUNTIF(AR15:AU15,"AB")</f>
        <v>0</v>
      </c>
      <c r="AX15" s="15">
        <f t="shared" ref="AX15:AX32" si="45">AV15+AW15</f>
        <v>0</v>
      </c>
      <c r="AY15" s="15">
        <f>AI15+AQ15+AX15</f>
        <v>0</v>
      </c>
      <c r="AZ15" s="15">
        <f>SUM(AG15,AO15,AV15)</f>
        <v>0</v>
      </c>
      <c r="BA15" s="78" t="e">
        <f t="shared" si="22"/>
        <v>#DIV/0!</v>
      </c>
      <c r="BD15" s="1"/>
      <c r="BF15" s="15">
        <f t="shared" si="4"/>
        <v>0</v>
      </c>
      <c r="BG15" s="15">
        <f t="shared" ref="BG15:BG31" si="46">COUNTIF(BB15:BE15,"AB")</f>
        <v>0</v>
      </c>
      <c r="BH15" s="15">
        <f t="shared" ref="BH15:BH31" si="47">BF15+BG15</f>
        <v>0</v>
      </c>
      <c r="BN15" s="15">
        <f t="shared" si="5"/>
        <v>0</v>
      </c>
      <c r="BO15" s="15">
        <f>COUNTIF(BI15:BM15,"AB")</f>
        <v>0</v>
      </c>
      <c r="BP15" s="15">
        <f t="shared" ref="BP15:BP31" si="48">BN15+BO15</f>
        <v>0</v>
      </c>
      <c r="BU15" s="15">
        <f t="shared" si="6"/>
        <v>0</v>
      </c>
      <c r="BV15" s="15">
        <f t="shared" ref="BV15:BV31" si="49">COUNTIF(BQ15:BT15,"AB")</f>
        <v>0</v>
      </c>
      <c r="BW15" s="15">
        <f t="shared" ref="BW15:BW31" si="50">BU15+BV15</f>
        <v>0</v>
      </c>
      <c r="BX15" s="15">
        <f>BH15+BP15+BW15</f>
        <v>0</v>
      </c>
      <c r="BY15" s="15">
        <f>SUM(BF15,BN15,BU15)</f>
        <v>0</v>
      </c>
      <c r="BZ15" s="78" t="e">
        <f t="shared" ref="BZ15:BZ27" si="51">BY15/BX15*100</f>
        <v>#DIV/0!</v>
      </c>
      <c r="CA15" s="83"/>
      <c r="CG15" s="15">
        <f>COUNTIF(CB15:CF15,"PR")</f>
        <v>0</v>
      </c>
      <c r="CH15" s="15">
        <f>COUNTIF(CB15:CF15,"AB")</f>
        <v>0</v>
      </c>
      <c r="CI15" s="15">
        <f t="shared" ref="CI15:CI31" si="52">CG15+CH15</f>
        <v>0</v>
      </c>
      <c r="CN15" s="15">
        <f>COUNTIF(CJ15:CM15,"PR")</f>
        <v>0</v>
      </c>
      <c r="CO15" s="15">
        <f>COUNTIF(CJ15:CM15,"AB")</f>
        <v>0</v>
      </c>
      <c r="CP15" s="15">
        <f t="shared" ref="CP15:CP31" si="53">CN15+CO15</f>
        <v>0</v>
      </c>
      <c r="CU15" s="15">
        <f t="shared" si="7"/>
        <v>0</v>
      </c>
      <c r="CV15" s="15">
        <f t="shared" ref="CV15:CV19" si="54">COUNTIF(CQ15:CT15,"AB")</f>
        <v>0</v>
      </c>
      <c r="CW15" s="15">
        <f t="shared" ref="CW15:CW19" si="55">CU15+CV15</f>
        <v>0</v>
      </c>
      <c r="CX15" s="15">
        <f>CG15+CN15+CU15</f>
        <v>0</v>
      </c>
      <c r="CY15" s="15" t="e">
        <f>SUM(CE15,#REF!,CS15)</f>
        <v>#REF!</v>
      </c>
      <c r="CZ15" s="78" t="e">
        <f t="shared" si="36"/>
        <v>#REF!</v>
      </c>
      <c r="DA15" s="83"/>
    </row>
    <row r="16" spans="1:117">
      <c r="A16" s="68"/>
      <c r="B16" s="14"/>
      <c r="H16" s="15">
        <f>COUNTIF(C16:G16,"PR")</f>
        <v>0</v>
      </c>
      <c r="I16" s="18">
        <f>COUNTIF(C16:G16,"AB")</f>
        <v>0</v>
      </c>
      <c r="J16" s="15">
        <f>H16+I16</f>
        <v>0</v>
      </c>
      <c r="O16" s="15">
        <f>COUNTIF(K16:N16,"PR")</f>
        <v>0</v>
      </c>
      <c r="P16" s="18">
        <f>COUNTIF(K16:N16,"AB")</f>
        <v>0</v>
      </c>
      <c r="Q16" s="15">
        <f>O16+P16</f>
        <v>0</v>
      </c>
      <c r="V16" s="15">
        <f t="shared" ref="V16:V19" si="56">COUNTIF(R16:U16,"PR")</f>
        <v>0</v>
      </c>
      <c r="W16" s="15">
        <f t="shared" ref="W16:W19" si="57">COUNTIF(R16:U16,"AB")</f>
        <v>0</v>
      </c>
      <c r="X16" s="15">
        <f>V16+W16</f>
        <v>0</v>
      </c>
      <c r="Y16" s="15">
        <f>J16+Q16+X16</f>
        <v>0</v>
      </c>
      <c r="Z16" s="15">
        <f>SUM(H16,O16,V16)</f>
        <v>0</v>
      </c>
      <c r="AA16" s="78" t="e">
        <f>Z16/Y16*100</f>
        <v>#DIV/0!</v>
      </c>
      <c r="AB16" s="82"/>
      <c r="AG16" s="15">
        <f>COUNTIF(AC16:AF16,"PR")</f>
        <v>0</v>
      </c>
      <c r="AH16" s="15">
        <f>COUNTIF(AC16:AF16,"AB")</f>
        <v>0</v>
      </c>
      <c r="AI16" s="15">
        <f>AG16+AH16</f>
        <v>0</v>
      </c>
      <c r="AO16" s="15">
        <f>COUNTIF(AJ16:AN16,"PR")</f>
        <v>0</v>
      </c>
      <c r="AP16" s="15">
        <f>COUNTIF(AJ16:AN16,"AB")</f>
        <v>0</v>
      </c>
      <c r="AQ16" s="15">
        <f>AO16+AP16</f>
        <v>0</v>
      </c>
      <c r="AV16" s="15">
        <f>COUNTIF(AR16:AU16,"PR")</f>
        <v>0</v>
      </c>
      <c r="AW16" s="15">
        <f t="shared" ref="AW16:AW19" si="58">COUNTIF(AR16:AU16,"AB")</f>
        <v>0</v>
      </c>
      <c r="AX16" s="15">
        <f>AV16+AW16</f>
        <v>0</v>
      </c>
      <c r="AY16" s="15">
        <f>AI16+AQ16+AX16</f>
        <v>0</v>
      </c>
      <c r="AZ16" s="15">
        <f>SUM(AG16,AO16,AV16)</f>
        <v>0</v>
      </c>
      <c r="BA16" s="78" t="e">
        <f>AZ16/AY16*100</f>
        <v>#DIV/0!</v>
      </c>
      <c r="BD16" s="1"/>
      <c r="BF16" s="15">
        <f>COUNTIF(BB16:BE16,"PR")</f>
        <v>0</v>
      </c>
      <c r="BG16" s="15">
        <f>COUNTIF(BB16:BE16,"AB")</f>
        <v>0</v>
      </c>
      <c r="BH16" s="15">
        <f>BF16+BG16</f>
        <v>0</v>
      </c>
      <c r="BN16" s="15">
        <f>COUNTIF(BI16:BM16,"PR")</f>
        <v>0</v>
      </c>
      <c r="BO16" s="15">
        <f t="shared" ref="BO16:BO19" si="59">COUNTIF(BI16:BM16,"AB")</f>
        <v>0</v>
      </c>
      <c r="BP16" s="15">
        <f>BN16+BO16</f>
        <v>0</v>
      </c>
      <c r="BU16" s="15">
        <f>COUNTIF(BQ16:BT16,"PR")</f>
        <v>0</v>
      </c>
      <c r="BV16" s="15">
        <f>COUNTIF(BQ16:BT16,"AB")</f>
        <v>0</v>
      </c>
      <c r="BW16" s="15">
        <f>BU16+BV16</f>
        <v>0</v>
      </c>
      <c r="BX16" s="15">
        <f>BH16+BP16+BW16</f>
        <v>0</v>
      </c>
      <c r="BY16" s="15">
        <f>SUM(BF16,BN16,BU16)</f>
        <v>0</v>
      </c>
      <c r="BZ16" s="78" t="e">
        <f>BY16/BX16*100</f>
        <v>#DIV/0!</v>
      </c>
      <c r="CA16" s="82"/>
      <c r="CG16" s="15">
        <f>COUNTIF(CB16:CF16,"PR")</f>
        <v>0</v>
      </c>
      <c r="CH16" s="15">
        <f>COUNTIF(CB16:CF16,"AB")</f>
        <v>0</v>
      </c>
      <c r="CI16" s="15">
        <f>CG16+CH16</f>
        <v>0</v>
      </c>
      <c r="CN16" s="15">
        <f>COUNTIF(CJ16:CM16,"PR")</f>
        <v>0</v>
      </c>
      <c r="CO16" s="15">
        <f>COUNTIF(CJ16:CM16,"AB")</f>
        <v>0</v>
      </c>
      <c r="CP16" s="15">
        <f>CN16+CO16</f>
        <v>0</v>
      </c>
      <c r="CU16" s="15">
        <f>COUNTIF(CQ16:CT16,"PR")</f>
        <v>0</v>
      </c>
      <c r="CV16" s="15">
        <f>COUNTIF(CQ16:CT16,"AB")</f>
        <v>0</v>
      </c>
      <c r="CW16" s="15">
        <f>CU16+CV16</f>
        <v>0</v>
      </c>
      <c r="CX16" s="15">
        <f>CG16+CN16+CU16</f>
        <v>0</v>
      </c>
      <c r="CY16" s="15" t="e">
        <f>SUM(CE16,#REF!,CS16)</f>
        <v>#REF!</v>
      </c>
      <c r="CZ16" s="78" t="e">
        <f>CY16/CX16*100</f>
        <v>#REF!</v>
      </c>
      <c r="DA16" s="82"/>
    </row>
    <row r="17" spans="1:105">
      <c r="A17" s="91"/>
      <c r="B17" s="14"/>
      <c r="H17" s="15">
        <f t="shared" si="37"/>
        <v>0</v>
      </c>
      <c r="I17" s="18">
        <f t="shared" ref="I17:I19" si="60">COUNTIF(C17:G17,"AB")</f>
        <v>0</v>
      </c>
      <c r="J17" s="15">
        <f t="shared" si="38"/>
        <v>0</v>
      </c>
      <c r="O17" s="15">
        <f t="shared" si="1"/>
        <v>0</v>
      </c>
      <c r="P17" s="18">
        <f t="shared" si="39"/>
        <v>0</v>
      </c>
      <c r="Q17" s="15">
        <f t="shared" si="40"/>
        <v>0</v>
      </c>
      <c r="V17" s="15">
        <f t="shared" si="56"/>
        <v>0</v>
      </c>
      <c r="W17" s="15">
        <f t="shared" si="57"/>
        <v>0</v>
      </c>
      <c r="X17" s="15">
        <f t="shared" ref="X17:X33" si="61">V17+W17</f>
        <v>0</v>
      </c>
      <c r="Y17" s="15">
        <f>J17+Q17+X17</f>
        <v>0</v>
      </c>
      <c r="Z17" s="15">
        <f>SUM(H17,O17,V17)</f>
        <v>0</v>
      </c>
      <c r="AA17" s="78" t="e">
        <f t="shared" si="15"/>
        <v>#DIV/0!</v>
      </c>
      <c r="AB17" s="78"/>
      <c r="AG17" s="15">
        <f t="shared" si="2"/>
        <v>0</v>
      </c>
      <c r="AH17" s="15">
        <f t="shared" si="41"/>
        <v>0</v>
      </c>
      <c r="AI17" s="15">
        <f t="shared" si="42"/>
        <v>0</v>
      </c>
      <c r="AO17" s="15">
        <f t="shared" si="3"/>
        <v>0</v>
      </c>
      <c r="AP17" s="15">
        <f t="shared" si="43"/>
        <v>0</v>
      </c>
      <c r="AQ17" s="15">
        <f t="shared" si="44"/>
        <v>0</v>
      </c>
      <c r="AV17" s="15">
        <f>COUNTIF(AR17:AU17,"PR")</f>
        <v>0</v>
      </c>
      <c r="AW17" s="15">
        <f t="shared" si="58"/>
        <v>0</v>
      </c>
      <c r="AX17" s="15">
        <f t="shared" si="45"/>
        <v>0</v>
      </c>
      <c r="AY17" s="15">
        <f>AI17+AQ17+AX17</f>
        <v>0</v>
      </c>
      <c r="AZ17" s="15">
        <f>SUM(AG17,AO17,AV17)</f>
        <v>0</v>
      </c>
      <c r="BA17" s="78" t="e">
        <f t="shared" si="22"/>
        <v>#DIV/0!</v>
      </c>
      <c r="BD17" s="1"/>
      <c r="BF17" s="15">
        <f t="shared" si="4"/>
        <v>0</v>
      </c>
      <c r="BG17" s="15">
        <f t="shared" si="46"/>
        <v>0</v>
      </c>
      <c r="BH17" s="15">
        <f t="shared" si="47"/>
        <v>0</v>
      </c>
      <c r="BN17" s="15">
        <f t="shared" si="5"/>
        <v>0</v>
      </c>
      <c r="BO17" s="15">
        <f t="shared" si="59"/>
        <v>0</v>
      </c>
      <c r="BP17" s="15">
        <f t="shared" si="48"/>
        <v>0</v>
      </c>
      <c r="BU17" s="15">
        <f t="shared" si="6"/>
        <v>0</v>
      </c>
      <c r="BV17" s="15">
        <f t="shared" si="49"/>
        <v>0</v>
      </c>
      <c r="BW17" s="15">
        <f t="shared" si="50"/>
        <v>0</v>
      </c>
      <c r="BX17" s="15">
        <f t="shared" ref="BX17:BX19" si="62">BH17+BP17+BW17</f>
        <v>0</v>
      </c>
      <c r="BY17" s="15">
        <f t="shared" ref="BY17:BY19" si="63">SUM(BF17,BN17,BU17)</f>
        <v>0</v>
      </c>
      <c r="BZ17" s="78" t="e">
        <f t="shared" si="51"/>
        <v>#DIV/0!</v>
      </c>
      <c r="CA17" s="78"/>
      <c r="CG17" s="15">
        <f>COUNTIF(CB17:CF17,"PR")</f>
        <v>0</v>
      </c>
      <c r="CH17" s="15">
        <f>COUNTIF(CB17:CF17,"AB")</f>
        <v>0</v>
      </c>
      <c r="CI17" s="15">
        <f t="shared" si="52"/>
        <v>0</v>
      </c>
      <c r="CN17" s="15">
        <f>COUNTIF(CJ17:CM17,"PR")</f>
        <v>0</v>
      </c>
      <c r="CO17" s="15">
        <f>COUNTIF(CJ17:CM17,"AB")</f>
        <v>0</v>
      </c>
      <c r="CP17" s="15">
        <f t="shared" si="53"/>
        <v>0</v>
      </c>
      <c r="CU17" s="15">
        <f t="shared" si="7"/>
        <v>0</v>
      </c>
      <c r="CV17" s="15">
        <f t="shared" si="54"/>
        <v>0</v>
      </c>
      <c r="CW17" s="15">
        <f t="shared" si="55"/>
        <v>0</v>
      </c>
      <c r="CX17" s="15">
        <f>CG17+CN17+CU17</f>
        <v>0</v>
      </c>
      <c r="CY17" s="15" t="e">
        <f>SUM(CE17,#REF!,CS17)</f>
        <v>#REF!</v>
      </c>
      <c r="CZ17" s="78" t="e">
        <f t="shared" si="36"/>
        <v>#REF!</v>
      </c>
      <c r="DA17" s="78"/>
    </row>
    <row r="18" spans="1:105">
      <c r="A18" s="91"/>
      <c r="B18" s="14"/>
      <c r="H18" s="15">
        <f t="shared" si="37"/>
        <v>0</v>
      </c>
      <c r="I18" s="18">
        <f t="shared" si="60"/>
        <v>0</v>
      </c>
      <c r="J18" s="15">
        <f t="shared" si="38"/>
        <v>0</v>
      </c>
      <c r="O18" s="15">
        <f t="shared" si="1"/>
        <v>0</v>
      </c>
      <c r="P18" s="18">
        <f t="shared" si="39"/>
        <v>0</v>
      </c>
      <c r="Q18" s="15">
        <f t="shared" si="40"/>
        <v>0</v>
      </c>
      <c r="V18" s="15">
        <f t="shared" si="56"/>
        <v>0</v>
      </c>
      <c r="W18" s="15">
        <f t="shared" si="57"/>
        <v>0</v>
      </c>
      <c r="X18" s="15">
        <f t="shared" si="61"/>
        <v>0</v>
      </c>
      <c r="Y18" s="15">
        <f>J18+Q18+X18</f>
        <v>0</v>
      </c>
      <c r="Z18" s="15">
        <f>SUM(H18,O18,V18)</f>
        <v>0</v>
      </c>
      <c r="AA18" s="78" t="e">
        <f t="shared" si="15"/>
        <v>#DIV/0!</v>
      </c>
      <c r="AB18" s="78"/>
      <c r="AG18" s="15">
        <f t="shared" si="2"/>
        <v>0</v>
      </c>
      <c r="AH18" s="15">
        <f t="shared" si="41"/>
        <v>0</v>
      </c>
      <c r="AI18" s="15">
        <f t="shared" si="42"/>
        <v>0</v>
      </c>
      <c r="AO18" s="15">
        <f t="shared" si="3"/>
        <v>0</v>
      </c>
      <c r="AP18" s="15">
        <f t="shared" si="43"/>
        <v>0</v>
      </c>
      <c r="AQ18" s="15">
        <f t="shared" si="44"/>
        <v>0</v>
      </c>
      <c r="AV18" s="15">
        <f>COUNTIF(AR18:AU18,"PR")</f>
        <v>0</v>
      </c>
      <c r="AW18" s="15">
        <f t="shared" si="58"/>
        <v>0</v>
      </c>
      <c r="AX18" s="15">
        <f t="shared" si="45"/>
        <v>0</v>
      </c>
      <c r="AY18" s="15">
        <f>AI18+AQ18+AX18</f>
        <v>0</v>
      </c>
      <c r="AZ18" s="15">
        <f>SUM(AG18,AO18,AV18)</f>
        <v>0</v>
      </c>
      <c r="BA18" s="78" t="e">
        <f t="shared" si="22"/>
        <v>#DIV/0!</v>
      </c>
      <c r="BD18" s="1"/>
      <c r="BF18" s="15">
        <f t="shared" si="4"/>
        <v>0</v>
      </c>
      <c r="BG18" s="15">
        <f t="shared" si="46"/>
        <v>0</v>
      </c>
      <c r="BH18" s="15">
        <f t="shared" si="47"/>
        <v>0</v>
      </c>
      <c r="BN18" s="15">
        <f t="shared" si="5"/>
        <v>0</v>
      </c>
      <c r="BO18" s="15">
        <f t="shared" si="59"/>
        <v>0</v>
      </c>
      <c r="BP18" s="15">
        <f t="shared" si="48"/>
        <v>0</v>
      </c>
      <c r="BU18" s="15">
        <f t="shared" si="6"/>
        <v>0</v>
      </c>
      <c r="BV18" s="15">
        <f t="shared" si="49"/>
        <v>0</v>
      </c>
      <c r="BW18" s="15">
        <f t="shared" si="50"/>
        <v>0</v>
      </c>
      <c r="BX18" s="15">
        <f t="shared" si="62"/>
        <v>0</v>
      </c>
      <c r="BY18" s="15">
        <f t="shared" si="63"/>
        <v>0</v>
      </c>
      <c r="BZ18" s="78" t="e">
        <f t="shared" si="51"/>
        <v>#DIV/0!</v>
      </c>
      <c r="CA18" s="78"/>
      <c r="CG18" s="15">
        <f>COUNTIF(CB18:CF18,"PR")</f>
        <v>0</v>
      </c>
      <c r="CH18" s="15">
        <f>COUNTIF(CB18:CF18,"AB")</f>
        <v>0</v>
      </c>
      <c r="CI18" s="15">
        <f t="shared" si="52"/>
        <v>0</v>
      </c>
      <c r="CN18" s="15">
        <f>COUNTIF(CJ18:CM18,"PR")</f>
        <v>0</v>
      </c>
      <c r="CO18" s="15">
        <f>COUNTIF(CJ18:CM18,"AB")</f>
        <v>0</v>
      </c>
      <c r="CP18" s="15">
        <f t="shared" si="53"/>
        <v>0</v>
      </c>
      <c r="CU18" s="15">
        <f t="shared" si="7"/>
        <v>0</v>
      </c>
      <c r="CV18" s="15">
        <f t="shared" si="54"/>
        <v>0</v>
      </c>
      <c r="CW18" s="15">
        <f t="shared" si="55"/>
        <v>0</v>
      </c>
      <c r="CX18" s="15">
        <f>CG18+CN18+CU18</f>
        <v>0</v>
      </c>
      <c r="CY18" s="15" t="e">
        <f>SUM(CE18,#REF!,CS18)</f>
        <v>#REF!</v>
      </c>
      <c r="CZ18" s="78" t="e">
        <f t="shared" si="36"/>
        <v>#REF!</v>
      </c>
      <c r="DA18" s="78"/>
    </row>
    <row r="19" spans="1:105">
      <c r="A19" s="91"/>
      <c r="B19" s="14"/>
      <c r="H19" s="15">
        <f t="shared" si="37"/>
        <v>0</v>
      </c>
      <c r="I19" s="18">
        <f t="shared" si="60"/>
        <v>0</v>
      </c>
      <c r="J19" s="15">
        <f t="shared" si="38"/>
        <v>0</v>
      </c>
      <c r="O19" s="15">
        <f t="shared" si="1"/>
        <v>0</v>
      </c>
      <c r="P19" s="18">
        <f t="shared" si="39"/>
        <v>0</v>
      </c>
      <c r="Q19" s="15">
        <f t="shared" si="40"/>
        <v>0</v>
      </c>
      <c r="V19" s="15">
        <f t="shared" si="56"/>
        <v>0</v>
      </c>
      <c r="W19" s="15">
        <f t="shared" si="57"/>
        <v>0</v>
      </c>
      <c r="X19" s="15">
        <f t="shared" si="61"/>
        <v>0</v>
      </c>
      <c r="Y19" s="15">
        <f>J19+Q19+X19</f>
        <v>0</v>
      </c>
      <c r="Z19" s="15">
        <f>SUM(H19,O19,V19)</f>
        <v>0</v>
      </c>
      <c r="AA19" s="78" t="e">
        <f t="shared" si="15"/>
        <v>#DIV/0!</v>
      </c>
      <c r="AB19" s="78"/>
      <c r="AG19" s="15">
        <f t="shared" si="2"/>
        <v>0</v>
      </c>
      <c r="AH19" s="15">
        <f t="shared" si="41"/>
        <v>0</v>
      </c>
      <c r="AI19" s="15">
        <f t="shared" si="42"/>
        <v>0</v>
      </c>
      <c r="AO19" s="15">
        <f t="shared" si="3"/>
        <v>0</v>
      </c>
      <c r="AP19" s="15">
        <f t="shared" si="43"/>
        <v>0</v>
      </c>
      <c r="AQ19" s="15">
        <f t="shared" si="44"/>
        <v>0</v>
      </c>
      <c r="AV19" s="15">
        <f>COUNTIF(AR19:AU19,"PR")</f>
        <v>0</v>
      </c>
      <c r="AW19" s="15">
        <f t="shared" si="58"/>
        <v>0</v>
      </c>
      <c r="AX19" s="15">
        <f t="shared" si="45"/>
        <v>0</v>
      </c>
      <c r="AY19" s="15">
        <f>AI19+AQ19+AX19</f>
        <v>0</v>
      </c>
      <c r="AZ19" s="15">
        <f>SUM(AG19,AO19,AV19)</f>
        <v>0</v>
      </c>
      <c r="BA19" s="78" t="e">
        <f t="shared" si="22"/>
        <v>#DIV/0!</v>
      </c>
      <c r="BD19" s="1"/>
      <c r="BF19" s="15">
        <f t="shared" si="4"/>
        <v>0</v>
      </c>
      <c r="BG19" s="15">
        <f t="shared" si="46"/>
        <v>0</v>
      </c>
      <c r="BH19" s="15">
        <f t="shared" si="47"/>
        <v>0</v>
      </c>
      <c r="BN19" s="15">
        <f t="shared" si="5"/>
        <v>0</v>
      </c>
      <c r="BO19" s="15">
        <f t="shared" si="59"/>
        <v>0</v>
      </c>
      <c r="BP19" s="15">
        <f t="shared" si="48"/>
        <v>0</v>
      </c>
      <c r="BU19" s="15">
        <f t="shared" si="6"/>
        <v>0</v>
      </c>
      <c r="BV19" s="15">
        <f t="shared" si="49"/>
        <v>0</v>
      </c>
      <c r="BW19" s="15">
        <f t="shared" si="50"/>
        <v>0</v>
      </c>
      <c r="BX19" s="15">
        <f t="shared" si="62"/>
        <v>0</v>
      </c>
      <c r="BY19" s="15">
        <f t="shared" si="63"/>
        <v>0</v>
      </c>
      <c r="BZ19" s="78" t="e">
        <f t="shared" si="51"/>
        <v>#DIV/0!</v>
      </c>
      <c r="CA19" s="78"/>
      <c r="CG19" s="15">
        <f>COUNTIF(CB19:CF19,"PR")</f>
        <v>0</v>
      </c>
      <c r="CH19" s="15">
        <f>COUNTIF(CB19:CF19,"AB")</f>
        <v>0</v>
      </c>
      <c r="CI19" s="15">
        <f t="shared" si="52"/>
        <v>0</v>
      </c>
      <c r="CN19" s="15">
        <f>COUNTIF(CJ19:CM19,"PR")</f>
        <v>0</v>
      </c>
      <c r="CO19" s="15">
        <f>COUNTIF(CJ19:CM19,"AB")</f>
        <v>0</v>
      </c>
      <c r="CP19" s="15">
        <f t="shared" si="53"/>
        <v>0</v>
      </c>
      <c r="CU19" s="15">
        <f t="shared" si="7"/>
        <v>0</v>
      </c>
      <c r="CV19" s="15">
        <f t="shared" si="54"/>
        <v>0</v>
      </c>
      <c r="CW19" s="15">
        <f t="shared" si="55"/>
        <v>0</v>
      </c>
      <c r="CX19" s="15">
        <f>CG19+CN19+CU19</f>
        <v>0</v>
      </c>
      <c r="CY19" s="15" t="e">
        <f>SUM(CE19,#REF!,CS19)</f>
        <v>#REF!</v>
      </c>
      <c r="CZ19" s="78" t="e">
        <f t="shared" si="36"/>
        <v>#REF!</v>
      </c>
      <c r="DA19" s="78"/>
    </row>
    <row r="20" spans="1:105" s="8" customFormat="1">
      <c r="A20" s="92"/>
      <c r="H20" s="11">
        <f>SUM(H15:H19)</f>
        <v>0</v>
      </c>
      <c r="I20" s="11"/>
      <c r="J20" s="11">
        <f>SUM(J15:J19)</f>
        <v>0</v>
      </c>
      <c r="O20" s="11">
        <f>SUM(O15:O19)</f>
        <v>0</v>
      </c>
      <c r="P20" s="11"/>
      <c r="Q20" s="11">
        <f>SUM(Q15:Q19)</f>
        <v>0</v>
      </c>
      <c r="V20" s="11">
        <f>SUM(V15:V19)</f>
        <v>0</v>
      </c>
      <c r="W20" s="11"/>
      <c r="X20" s="11">
        <f>SUM(X15:X19)</f>
        <v>0</v>
      </c>
      <c r="Y20" s="11">
        <f>SUM(Y15:Y19)</f>
        <v>0</v>
      </c>
      <c r="Z20" s="11"/>
      <c r="AG20" s="11">
        <f>SUM(AG15:AG19)</f>
        <v>0</v>
      </c>
      <c r="AH20" s="11"/>
      <c r="AI20" s="11">
        <f>SUM(AI15:AI19)</f>
        <v>0</v>
      </c>
      <c r="AO20" s="11">
        <f>SUM(AO15:AO19)</f>
        <v>0</v>
      </c>
      <c r="AP20" s="11"/>
      <c r="AQ20" s="11">
        <f>SUM(AQ15:AQ19)</f>
        <v>0</v>
      </c>
      <c r="AV20" s="11">
        <f>SUM(AV15:AV19)</f>
        <v>0</v>
      </c>
      <c r="AW20" s="11"/>
      <c r="AX20" s="11">
        <f>SUM(AX15:AX19)</f>
        <v>0</v>
      </c>
      <c r="AY20" s="11">
        <f>SUM(AY15:AY19)</f>
        <v>0</v>
      </c>
      <c r="AZ20" s="11"/>
      <c r="BD20" s="85"/>
      <c r="BF20" s="11">
        <f>SUM(BF15:BF19)</f>
        <v>0</v>
      </c>
      <c r="BG20" s="11"/>
      <c r="BH20" s="11">
        <f>SUM(BH15:BH19)</f>
        <v>0</v>
      </c>
      <c r="BN20" s="11">
        <f>SUM(BN15:BN19)</f>
        <v>0</v>
      </c>
      <c r="BO20" s="11"/>
      <c r="BP20" s="11">
        <f>SUM(BP15:BP19)</f>
        <v>0</v>
      </c>
      <c r="BU20" s="11">
        <f>SUM(BU15:BU19)</f>
        <v>0</v>
      </c>
      <c r="BV20" s="11"/>
      <c r="BW20" s="11">
        <f>SUM(BW15:BW19)</f>
        <v>0</v>
      </c>
      <c r="BX20" s="11">
        <f>SUM(BX15:BX19)</f>
        <v>0</v>
      </c>
      <c r="BY20" s="11"/>
      <c r="CG20" s="11">
        <f>SUM(CG15:CG19)</f>
        <v>0</v>
      </c>
      <c r="CH20" s="11"/>
      <c r="CI20" s="11">
        <f>SUM(CI15:CI19)</f>
        <v>0</v>
      </c>
      <c r="CN20" s="11">
        <f>SUM(CN15:CN19)</f>
        <v>0</v>
      </c>
      <c r="CO20" s="11"/>
      <c r="CP20" s="11">
        <f>SUM(CP15:CP19)</f>
        <v>0</v>
      </c>
      <c r="CU20" s="11">
        <f>SUM(CU15:CU19)</f>
        <v>0</v>
      </c>
      <c r="CV20" s="11"/>
      <c r="CW20" s="11">
        <f>SUM(CW15:CW19)</f>
        <v>0</v>
      </c>
      <c r="CX20" s="11">
        <f>SUM(CX15:CX19)</f>
        <v>0</v>
      </c>
      <c r="CY20" s="11"/>
    </row>
    <row r="21" spans="1:105" s="8" customFormat="1">
      <c r="A21" s="90" t="s">
        <v>74</v>
      </c>
      <c r="H21" s="11"/>
      <c r="I21" s="11"/>
      <c r="J21" s="11"/>
      <c r="O21" s="11"/>
      <c r="P21" s="11"/>
      <c r="Q21" s="11"/>
      <c r="V21" s="11"/>
      <c r="W21" s="11"/>
      <c r="X21" s="11"/>
      <c r="Y21" s="11"/>
      <c r="Z21" s="11"/>
      <c r="AG21" s="11"/>
      <c r="AH21" s="11"/>
      <c r="AI21" s="11"/>
      <c r="AO21" s="11"/>
      <c r="AP21" s="11"/>
      <c r="AQ21" s="11"/>
      <c r="AV21" s="11"/>
      <c r="AW21" s="11"/>
      <c r="AX21" s="11"/>
      <c r="AY21" s="11"/>
      <c r="AZ21" s="11"/>
      <c r="BD21" s="85"/>
      <c r="BF21" s="11"/>
      <c r="BG21" s="11"/>
      <c r="BH21" s="11"/>
      <c r="BN21" s="11"/>
      <c r="BO21" s="11"/>
      <c r="BP21" s="11"/>
      <c r="BU21" s="11"/>
      <c r="BV21" s="11"/>
      <c r="BW21" s="11"/>
      <c r="BX21" s="11"/>
      <c r="BY21" s="11"/>
      <c r="CG21" s="11"/>
      <c r="CH21" s="11"/>
      <c r="CI21" s="11"/>
      <c r="CN21" s="11"/>
      <c r="CO21" s="11"/>
      <c r="CP21" s="11"/>
      <c r="CU21" s="11"/>
      <c r="CV21" s="11"/>
      <c r="CW21" s="11"/>
      <c r="CX21" s="11"/>
      <c r="CY21" s="11"/>
    </row>
    <row r="22" spans="1:105">
      <c r="A22" s="68"/>
      <c r="B22" s="14"/>
      <c r="H22" s="15">
        <f t="shared" ref="H22:H34" si="64">COUNTIF(C22:G22,"PR")</f>
        <v>0</v>
      </c>
      <c r="I22" s="18">
        <f t="shared" ref="I22:I47" si="65">COUNTIF(C22:G22,"AB")</f>
        <v>0</v>
      </c>
      <c r="J22" s="15">
        <f t="shared" ref="J22:J47" si="66">H22+I22</f>
        <v>0</v>
      </c>
      <c r="O22" s="15">
        <f t="shared" si="1"/>
        <v>0</v>
      </c>
      <c r="P22" s="18">
        <f t="shared" ref="P22:P48" si="67">COUNTIF(K22:N22,"AB")</f>
        <v>0</v>
      </c>
      <c r="Q22" s="15">
        <f t="shared" ref="Q22:Q48" si="68">O22+P22</f>
        <v>0</v>
      </c>
      <c r="V22" s="15">
        <f>COUNTIF(R22:U22,"PR")</f>
        <v>0</v>
      </c>
      <c r="W22" s="15">
        <f>COUNTIF(R22:U22,"AB")</f>
        <v>0</v>
      </c>
      <c r="X22" s="15">
        <f t="shared" si="61"/>
        <v>0</v>
      </c>
      <c r="Y22" s="15">
        <f>J22+Q22+X22</f>
        <v>0</v>
      </c>
      <c r="Z22" s="15">
        <f>SUM(H22,O22,V22)</f>
        <v>0</v>
      </c>
      <c r="AA22" s="78" t="e">
        <f t="shared" si="15"/>
        <v>#DIV/0!</v>
      </c>
      <c r="AB22" s="82"/>
      <c r="AG22" s="15">
        <f t="shared" si="2"/>
        <v>0</v>
      </c>
      <c r="AH22" s="15">
        <f t="shared" si="41"/>
        <v>0</v>
      </c>
      <c r="AI22" s="15">
        <f t="shared" si="42"/>
        <v>0</v>
      </c>
      <c r="AO22" s="15">
        <f t="shared" si="3"/>
        <v>0</v>
      </c>
      <c r="AP22" s="15">
        <f t="shared" si="43"/>
        <v>0</v>
      </c>
      <c r="AQ22" s="15">
        <f t="shared" si="44"/>
        <v>0</v>
      </c>
      <c r="AV22" s="15">
        <f>COUNTIF(AR22:AU22,"PR")</f>
        <v>0</v>
      </c>
      <c r="AW22" s="15">
        <f>COUNTIF(AR22:AU22,"AB")</f>
        <v>0</v>
      </c>
      <c r="AX22" s="15">
        <f t="shared" si="45"/>
        <v>0</v>
      </c>
      <c r="AY22" s="15">
        <f>AI22+AQ22+AX22</f>
        <v>0</v>
      </c>
      <c r="AZ22" s="15">
        <f>SUM(AG22,AO22,AV22)</f>
        <v>0</v>
      </c>
      <c r="BA22" s="78" t="e">
        <f t="shared" si="22"/>
        <v>#DIV/0!</v>
      </c>
      <c r="BD22" s="1"/>
      <c r="BF22" s="15">
        <f t="shared" si="4"/>
        <v>0</v>
      </c>
      <c r="BG22" s="15">
        <f t="shared" si="46"/>
        <v>0</v>
      </c>
      <c r="BH22" s="15">
        <f t="shared" si="47"/>
        <v>0</v>
      </c>
      <c r="BN22" s="15">
        <f t="shared" si="5"/>
        <v>0</v>
      </c>
      <c r="BO22" s="15">
        <f>COUNTIF(BI22:BM22,"AB")</f>
        <v>0</v>
      </c>
      <c r="BP22" s="15">
        <f t="shared" si="48"/>
        <v>0</v>
      </c>
      <c r="BU22" s="15">
        <f t="shared" si="6"/>
        <v>0</v>
      </c>
      <c r="BV22" s="15">
        <f t="shared" si="49"/>
        <v>0</v>
      </c>
      <c r="BW22" s="15">
        <f t="shared" si="50"/>
        <v>0</v>
      </c>
      <c r="BX22" s="15">
        <f>BH22+BP22+BW22</f>
        <v>0</v>
      </c>
      <c r="BY22" s="15">
        <f>SUM(BF22,BN22,BU22)</f>
        <v>0</v>
      </c>
      <c r="BZ22" s="78" t="e">
        <f t="shared" si="51"/>
        <v>#DIV/0!</v>
      </c>
      <c r="CA22" s="82"/>
      <c r="CG22" s="15">
        <f>COUNTIF(CB22:CF22,"PR")</f>
        <v>0</v>
      </c>
      <c r="CH22" s="15">
        <f>COUNTIF(CB22:CF22,"AB")</f>
        <v>0</v>
      </c>
      <c r="CI22" s="15">
        <f t="shared" si="52"/>
        <v>0</v>
      </c>
      <c r="CN22" s="15">
        <f>COUNTIF(CJ22:CM22,"PR")</f>
        <v>0</v>
      </c>
      <c r="CO22" s="15">
        <f>COUNTIF(CJ22:CM22,"AB")</f>
        <v>0</v>
      </c>
      <c r="CP22" s="15">
        <f t="shared" si="53"/>
        <v>0</v>
      </c>
      <c r="CU22" s="15">
        <f t="shared" si="7"/>
        <v>0</v>
      </c>
      <c r="CV22" s="15">
        <f t="shared" ref="CV22:CV34" si="69">COUNTIF(CQ22:CT22,"AB")</f>
        <v>0</v>
      </c>
      <c r="CW22" s="15">
        <f t="shared" ref="CW22:CW34" si="70">CU22+CV22</f>
        <v>0</v>
      </c>
      <c r="CX22" s="15">
        <f>CG22+CN22+CU22</f>
        <v>0</v>
      </c>
      <c r="CY22" s="15" t="e">
        <f>SUM(CE22,#REF!,CS22)</f>
        <v>#REF!</v>
      </c>
      <c r="CZ22" s="78" t="e">
        <f t="shared" si="36"/>
        <v>#REF!</v>
      </c>
      <c r="DA22" s="82"/>
    </row>
    <row r="23" spans="1:105">
      <c r="A23" s="68"/>
      <c r="B23" s="14"/>
      <c r="H23" s="15">
        <f t="shared" si="64"/>
        <v>0</v>
      </c>
      <c r="I23" s="18">
        <f t="shared" si="65"/>
        <v>0</v>
      </c>
      <c r="J23" s="15">
        <f t="shared" si="66"/>
        <v>0</v>
      </c>
      <c r="O23" s="15">
        <f t="shared" si="1"/>
        <v>0</v>
      </c>
      <c r="P23" s="18">
        <f t="shared" si="67"/>
        <v>0</v>
      </c>
      <c r="Q23" s="15">
        <f t="shared" si="68"/>
        <v>0</v>
      </c>
      <c r="V23" s="15">
        <f t="shared" ref="V23:V34" si="71">COUNTIF(R23:U23,"PR")</f>
        <v>0</v>
      </c>
      <c r="W23" s="15">
        <f t="shared" ref="W23:W34" si="72">COUNTIF(R23:U23,"AB")</f>
        <v>0</v>
      </c>
      <c r="X23" s="15">
        <f t="shared" si="61"/>
        <v>0</v>
      </c>
      <c r="Y23" s="15">
        <f>J23+Q23+X23</f>
        <v>0</v>
      </c>
      <c r="Z23" s="15">
        <f>SUM(H23,O23,V23)</f>
        <v>0</v>
      </c>
      <c r="AA23" s="78" t="e">
        <f t="shared" si="15"/>
        <v>#DIV/0!</v>
      </c>
      <c r="AB23" s="82"/>
      <c r="AG23" s="15">
        <f t="shared" si="2"/>
        <v>0</v>
      </c>
      <c r="AH23" s="15">
        <f t="shared" si="41"/>
        <v>0</v>
      </c>
      <c r="AI23" s="15">
        <f t="shared" si="42"/>
        <v>0</v>
      </c>
      <c r="AO23" s="15">
        <f t="shared" si="3"/>
        <v>0</v>
      </c>
      <c r="AP23" s="15">
        <f t="shared" si="43"/>
        <v>0</v>
      </c>
      <c r="AQ23" s="15">
        <f t="shared" si="44"/>
        <v>0</v>
      </c>
      <c r="AV23" s="15">
        <f>COUNTIF(AR23:AU23,"PR")</f>
        <v>0</v>
      </c>
      <c r="AW23" s="15">
        <f t="shared" ref="AW23:AW34" si="73">COUNTIF(AR23:AU23,"AB")</f>
        <v>0</v>
      </c>
      <c r="AX23" s="15">
        <f t="shared" si="45"/>
        <v>0</v>
      </c>
      <c r="AY23" s="15">
        <f>AI23+AQ23+AX23</f>
        <v>0</v>
      </c>
      <c r="AZ23" s="15">
        <f>SUM(AG23,AO23,AV23)</f>
        <v>0</v>
      </c>
      <c r="BA23" s="78" t="e">
        <f t="shared" si="22"/>
        <v>#DIV/0!</v>
      </c>
      <c r="BD23" s="1"/>
      <c r="BF23" s="15">
        <f t="shared" si="4"/>
        <v>0</v>
      </c>
      <c r="BG23" s="15">
        <f t="shared" si="46"/>
        <v>0</v>
      </c>
      <c r="BH23" s="15">
        <f t="shared" si="47"/>
        <v>0</v>
      </c>
      <c r="BN23" s="15">
        <f t="shared" si="5"/>
        <v>0</v>
      </c>
      <c r="BO23" s="15">
        <f t="shared" ref="BO23:BO34" si="74">COUNTIF(BI23:BM23,"AB")</f>
        <v>0</v>
      </c>
      <c r="BP23" s="15">
        <f t="shared" si="48"/>
        <v>0</v>
      </c>
      <c r="BU23" s="15">
        <f t="shared" si="6"/>
        <v>0</v>
      </c>
      <c r="BV23" s="15">
        <f t="shared" si="49"/>
        <v>0</v>
      </c>
      <c r="BW23" s="15">
        <f t="shared" si="50"/>
        <v>0</v>
      </c>
      <c r="BX23" s="15">
        <f t="shared" ref="BX23:BX34" si="75">BH23+BP23+BW23</f>
        <v>0</v>
      </c>
      <c r="BY23" s="15">
        <f t="shared" ref="BY23:BY34" si="76">SUM(BF23,BN23,BU23)</f>
        <v>0</v>
      </c>
      <c r="BZ23" s="78" t="e">
        <f t="shared" si="51"/>
        <v>#DIV/0!</v>
      </c>
      <c r="CA23" s="82"/>
      <c r="CG23" s="15">
        <f>COUNTIF(CB23:CF23,"PR")</f>
        <v>0</v>
      </c>
      <c r="CH23" s="15">
        <f>COUNTIF(CB23:CF23,"AB")</f>
        <v>0</v>
      </c>
      <c r="CI23" s="15">
        <f t="shared" si="52"/>
        <v>0</v>
      </c>
      <c r="CN23" s="15">
        <f>COUNTIF(CJ23:CM23,"PR")</f>
        <v>0</v>
      </c>
      <c r="CO23" s="15">
        <f>COUNTIF(CJ23:CM23,"AB")</f>
        <v>0</v>
      </c>
      <c r="CP23" s="15">
        <f t="shared" si="53"/>
        <v>0</v>
      </c>
      <c r="CU23" s="15">
        <f t="shared" si="7"/>
        <v>0</v>
      </c>
      <c r="CV23" s="15">
        <f t="shared" si="69"/>
        <v>0</v>
      </c>
      <c r="CW23" s="15">
        <f t="shared" si="70"/>
        <v>0</v>
      </c>
      <c r="CX23" s="15">
        <f>CG23+CN23+CU23</f>
        <v>0</v>
      </c>
      <c r="CY23" s="15" t="e">
        <f>SUM(CE23,#REF!,CS23)</f>
        <v>#REF!</v>
      </c>
      <c r="CZ23" s="78" t="e">
        <f t="shared" si="36"/>
        <v>#REF!</v>
      </c>
      <c r="DA23" s="82"/>
    </row>
    <row r="24" spans="1:105">
      <c r="A24" s="68"/>
      <c r="B24" s="14"/>
      <c r="H24" s="15">
        <f t="shared" si="64"/>
        <v>0</v>
      </c>
      <c r="I24" s="18">
        <f t="shared" si="65"/>
        <v>0</v>
      </c>
      <c r="J24" s="15">
        <f t="shared" si="66"/>
        <v>0</v>
      </c>
      <c r="O24" s="15">
        <f t="shared" si="1"/>
        <v>0</v>
      </c>
      <c r="P24" s="18">
        <f t="shared" si="67"/>
        <v>0</v>
      </c>
      <c r="Q24" s="15">
        <f t="shared" si="68"/>
        <v>0</v>
      </c>
      <c r="V24" s="15">
        <f t="shared" si="71"/>
        <v>0</v>
      </c>
      <c r="W24" s="15">
        <f t="shared" si="72"/>
        <v>0</v>
      </c>
      <c r="X24" s="15">
        <f t="shared" si="61"/>
        <v>0</v>
      </c>
      <c r="Y24" s="15">
        <f>J24+Q24+X24</f>
        <v>0</v>
      </c>
      <c r="Z24" s="15">
        <f>SUM(H24,O24,V24)</f>
        <v>0</v>
      </c>
      <c r="AA24" s="78" t="e">
        <f t="shared" si="15"/>
        <v>#DIV/0!</v>
      </c>
      <c r="AB24" s="82"/>
      <c r="AG24" s="15">
        <f t="shared" si="2"/>
        <v>0</v>
      </c>
      <c r="AH24" s="15">
        <f t="shared" si="41"/>
        <v>0</v>
      </c>
      <c r="AI24" s="15">
        <f t="shared" si="42"/>
        <v>0</v>
      </c>
      <c r="AO24" s="15">
        <f t="shared" si="3"/>
        <v>0</v>
      </c>
      <c r="AP24" s="15">
        <f t="shared" si="43"/>
        <v>0</v>
      </c>
      <c r="AQ24" s="15">
        <f t="shared" si="44"/>
        <v>0</v>
      </c>
      <c r="AV24" s="15">
        <f>COUNTIF(AR24:AU24,"PR")</f>
        <v>0</v>
      </c>
      <c r="AW24" s="15">
        <f t="shared" si="73"/>
        <v>0</v>
      </c>
      <c r="AX24" s="15">
        <f t="shared" si="45"/>
        <v>0</v>
      </c>
      <c r="AY24" s="15">
        <f>AI24+AQ24+AX24</f>
        <v>0</v>
      </c>
      <c r="AZ24" s="15">
        <f>SUM(AG24,AO24,AV24)</f>
        <v>0</v>
      </c>
      <c r="BA24" s="78" t="e">
        <f t="shared" si="22"/>
        <v>#DIV/0!</v>
      </c>
      <c r="BD24" s="1"/>
      <c r="BF24" s="15">
        <f t="shared" si="4"/>
        <v>0</v>
      </c>
      <c r="BG24" s="15">
        <f t="shared" si="46"/>
        <v>0</v>
      </c>
      <c r="BH24" s="15">
        <f t="shared" si="47"/>
        <v>0</v>
      </c>
      <c r="BN24" s="15">
        <f t="shared" si="5"/>
        <v>0</v>
      </c>
      <c r="BO24" s="15">
        <f t="shared" si="74"/>
        <v>0</v>
      </c>
      <c r="BP24" s="15">
        <f t="shared" si="48"/>
        <v>0</v>
      </c>
      <c r="BU24" s="15">
        <f t="shared" si="6"/>
        <v>0</v>
      </c>
      <c r="BV24" s="15">
        <f t="shared" si="49"/>
        <v>0</v>
      </c>
      <c r="BW24" s="15">
        <f t="shared" si="50"/>
        <v>0</v>
      </c>
      <c r="BX24" s="15">
        <f t="shared" si="75"/>
        <v>0</v>
      </c>
      <c r="BY24" s="15">
        <f t="shared" si="76"/>
        <v>0</v>
      </c>
      <c r="BZ24" s="78" t="e">
        <f t="shared" si="51"/>
        <v>#DIV/0!</v>
      </c>
      <c r="CA24" s="82"/>
      <c r="CG24" s="15">
        <f>COUNTIF(CB24:CF24,"PR")</f>
        <v>0</v>
      </c>
      <c r="CH24" s="15">
        <f>COUNTIF(CB24:CF24,"AB")</f>
        <v>0</v>
      </c>
      <c r="CI24" s="15">
        <f t="shared" si="52"/>
        <v>0</v>
      </c>
      <c r="CN24" s="15">
        <f>COUNTIF(CJ24:CM24,"PR")</f>
        <v>0</v>
      </c>
      <c r="CO24" s="15">
        <f>COUNTIF(CJ24:CM24,"AB")</f>
        <v>0</v>
      </c>
      <c r="CP24" s="15">
        <f t="shared" si="53"/>
        <v>0</v>
      </c>
      <c r="CU24" s="15">
        <f t="shared" si="7"/>
        <v>0</v>
      </c>
      <c r="CV24" s="15">
        <f t="shared" si="69"/>
        <v>0</v>
      </c>
      <c r="CW24" s="15">
        <f t="shared" si="70"/>
        <v>0</v>
      </c>
      <c r="CX24" s="15">
        <f>CG24+CN24+CU24</f>
        <v>0</v>
      </c>
      <c r="CY24" s="15" t="e">
        <f>SUM(CE24,#REF!,CS24)</f>
        <v>#REF!</v>
      </c>
      <c r="CZ24" s="78" t="e">
        <f t="shared" si="36"/>
        <v>#REF!</v>
      </c>
      <c r="DA24" s="82"/>
    </row>
    <row r="25" spans="1:105">
      <c r="A25" s="68"/>
      <c r="B25" s="14"/>
      <c r="H25" s="15">
        <f t="shared" si="64"/>
        <v>0</v>
      </c>
      <c r="I25" s="18">
        <f t="shared" si="65"/>
        <v>0</v>
      </c>
      <c r="J25" s="15">
        <f t="shared" si="66"/>
        <v>0</v>
      </c>
      <c r="O25" s="15">
        <f t="shared" si="1"/>
        <v>0</v>
      </c>
      <c r="P25" s="18">
        <f t="shared" si="67"/>
        <v>0</v>
      </c>
      <c r="Q25" s="15">
        <f t="shared" si="68"/>
        <v>0</v>
      </c>
      <c r="V25" s="15">
        <f t="shared" si="71"/>
        <v>0</v>
      </c>
      <c r="W25" s="15">
        <f t="shared" si="72"/>
        <v>0</v>
      </c>
      <c r="X25" s="15">
        <f t="shared" si="61"/>
        <v>0</v>
      </c>
      <c r="Y25" s="15">
        <f>J25+Q25+X25</f>
        <v>0</v>
      </c>
      <c r="Z25" s="15">
        <f>SUM(H25,O25,V25)</f>
        <v>0</v>
      </c>
      <c r="AA25" s="78" t="e">
        <f t="shared" si="15"/>
        <v>#DIV/0!</v>
      </c>
      <c r="AB25" s="82"/>
      <c r="AG25" s="15">
        <f t="shared" si="2"/>
        <v>0</v>
      </c>
      <c r="AH25" s="15">
        <f t="shared" si="41"/>
        <v>0</v>
      </c>
      <c r="AI25" s="15">
        <f t="shared" si="42"/>
        <v>0</v>
      </c>
      <c r="AO25" s="15">
        <f t="shared" si="3"/>
        <v>0</v>
      </c>
      <c r="AP25" s="15">
        <f t="shared" si="43"/>
        <v>0</v>
      </c>
      <c r="AQ25" s="15">
        <f t="shared" si="44"/>
        <v>0</v>
      </c>
      <c r="AV25" s="15">
        <f>COUNTIF(AR25:AU25,"PR")</f>
        <v>0</v>
      </c>
      <c r="AW25" s="15">
        <f t="shared" si="73"/>
        <v>0</v>
      </c>
      <c r="AX25" s="15">
        <f t="shared" si="45"/>
        <v>0</v>
      </c>
      <c r="AY25" s="15">
        <f>AI25+AQ25+AX25</f>
        <v>0</v>
      </c>
      <c r="AZ25" s="15">
        <f>SUM(AG25,AO25,AV25)</f>
        <v>0</v>
      </c>
      <c r="BA25" s="78" t="e">
        <f t="shared" si="22"/>
        <v>#DIV/0!</v>
      </c>
      <c r="BD25" s="1"/>
      <c r="BF25" s="15">
        <f t="shared" si="4"/>
        <v>0</v>
      </c>
      <c r="BG25" s="15">
        <f t="shared" si="46"/>
        <v>0</v>
      </c>
      <c r="BH25" s="15">
        <f t="shared" si="47"/>
        <v>0</v>
      </c>
      <c r="BN25" s="15">
        <f t="shared" si="5"/>
        <v>0</v>
      </c>
      <c r="BO25" s="15">
        <f t="shared" si="74"/>
        <v>0</v>
      </c>
      <c r="BP25" s="15">
        <f t="shared" si="48"/>
        <v>0</v>
      </c>
      <c r="BU25" s="15">
        <f t="shared" si="6"/>
        <v>0</v>
      </c>
      <c r="BV25" s="15">
        <f t="shared" si="49"/>
        <v>0</v>
      </c>
      <c r="BW25" s="15">
        <f t="shared" si="50"/>
        <v>0</v>
      </c>
      <c r="BX25" s="15">
        <f t="shared" si="75"/>
        <v>0</v>
      </c>
      <c r="BY25" s="15">
        <f t="shared" si="76"/>
        <v>0</v>
      </c>
      <c r="BZ25" s="78" t="e">
        <f t="shared" si="51"/>
        <v>#DIV/0!</v>
      </c>
      <c r="CA25" s="82"/>
      <c r="CG25" s="15">
        <f>COUNTIF(CB25:CF25,"PR")</f>
        <v>0</v>
      </c>
      <c r="CH25" s="15">
        <f>COUNTIF(CB25:CF25,"AB")</f>
        <v>0</v>
      </c>
      <c r="CI25" s="15">
        <f t="shared" si="52"/>
        <v>0</v>
      </c>
      <c r="CN25" s="15">
        <f>COUNTIF(CJ25:CM25,"PR")</f>
        <v>0</v>
      </c>
      <c r="CO25" s="15">
        <f>COUNTIF(CJ25:CM25,"AB")</f>
        <v>0</v>
      </c>
      <c r="CP25" s="15">
        <f t="shared" si="53"/>
        <v>0</v>
      </c>
      <c r="CU25" s="15">
        <f t="shared" si="7"/>
        <v>0</v>
      </c>
      <c r="CV25" s="15">
        <f t="shared" si="69"/>
        <v>0</v>
      </c>
      <c r="CW25" s="15">
        <f t="shared" si="70"/>
        <v>0</v>
      </c>
      <c r="CX25" s="15">
        <f>CG25+CN25+CU25</f>
        <v>0</v>
      </c>
      <c r="CY25" s="15" t="e">
        <f>SUM(CE25,#REF!,CS25)</f>
        <v>#REF!</v>
      </c>
      <c r="CZ25" s="78" t="e">
        <f t="shared" si="36"/>
        <v>#REF!</v>
      </c>
      <c r="DA25" s="82"/>
    </row>
    <row r="26" spans="1:105">
      <c r="A26" s="68"/>
      <c r="B26" s="14"/>
      <c r="H26" s="15">
        <f t="shared" si="64"/>
        <v>0</v>
      </c>
      <c r="I26" s="18">
        <f t="shared" si="65"/>
        <v>0</v>
      </c>
      <c r="J26" s="15">
        <f t="shared" si="66"/>
        <v>0</v>
      </c>
      <c r="O26" s="15">
        <f t="shared" si="1"/>
        <v>0</v>
      </c>
      <c r="P26" s="18">
        <f t="shared" si="67"/>
        <v>0</v>
      </c>
      <c r="Q26" s="15">
        <f t="shared" si="68"/>
        <v>0</v>
      </c>
      <c r="V26" s="15">
        <f t="shared" si="71"/>
        <v>0</v>
      </c>
      <c r="W26" s="15">
        <f t="shared" si="72"/>
        <v>0</v>
      </c>
      <c r="X26" s="15">
        <f t="shared" si="61"/>
        <v>0</v>
      </c>
      <c r="Y26" s="15">
        <f>J26+Q26+X26</f>
        <v>0</v>
      </c>
      <c r="Z26" s="15">
        <f>SUM(H26,O26,V26)</f>
        <v>0</v>
      </c>
      <c r="AA26" s="78" t="e">
        <f t="shared" si="15"/>
        <v>#DIV/0!</v>
      </c>
      <c r="AB26" s="82"/>
      <c r="AG26" s="15">
        <f t="shared" si="2"/>
        <v>0</v>
      </c>
      <c r="AH26" s="15">
        <f t="shared" si="41"/>
        <v>0</v>
      </c>
      <c r="AI26" s="15">
        <f t="shared" si="42"/>
        <v>0</v>
      </c>
      <c r="AO26" s="15">
        <f t="shared" si="3"/>
        <v>0</v>
      </c>
      <c r="AP26" s="15">
        <f t="shared" si="43"/>
        <v>0</v>
      </c>
      <c r="AQ26" s="15">
        <f t="shared" si="44"/>
        <v>0</v>
      </c>
      <c r="AV26" s="15">
        <f>COUNTIF(AR26:AU26,"PR")</f>
        <v>0</v>
      </c>
      <c r="AW26" s="15">
        <f t="shared" si="73"/>
        <v>0</v>
      </c>
      <c r="AX26" s="15">
        <f t="shared" si="45"/>
        <v>0</v>
      </c>
      <c r="AY26" s="15">
        <f>AI26+AQ26+AX26</f>
        <v>0</v>
      </c>
      <c r="AZ26" s="15">
        <f>SUM(AG26,AO26,AV26)</f>
        <v>0</v>
      </c>
      <c r="BA26" s="78" t="e">
        <f t="shared" si="22"/>
        <v>#DIV/0!</v>
      </c>
      <c r="BD26" s="1"/>
      <c r="BF26" s="15">
        <f t="shared" si="4"/>
        <v>0</v>
      </c>
      <c r="BG26" s="15">
        <f t="shared" si="46"/>
        <v>0</v>
      </c>
      <c r="BH26" s="15">
        <f t="shared" si="47"/>
        <v>0</v>
      </c>
      <c r="BN26" s="15">
        <f t="shared" si="5"/>
        <v>0</v>
      </c>
      <c r="BO26" s="15">
        <f t="shared" si="74"/>
        <v>0</v>
      </c>
      <c r="BP26" s="15">
        <f t="shared" si="48"/>
        <v>0</v>
      </c>
      <c r="BU26" s="15">
        <f t="shared" si="6"/>
        <v>0</v>
      </c>
      <c r="BV26" s="15">
        <f t="shared" si="49"/>
        <v>0</v>
      </c>
      <c r="BW26" s="15">
        <f t="shared" si="50"/>
        <v>0</v>
      </c>
      <c r="BX26" s="15">
        <f t="shared" si="75"/>
        <v>0</v>
      </c>
      <c r="BY26" s="15">
        <f t="shared" si="76"/>
        <v>0</v>
      </c>
      <c r="BZ26" s="78" t="e">
        <f t="shared" si="51"/>
        <v>#DIV/0!</v>
      </c>
      <c r="CA26" s="82"/>
      <c r="CG26" s="15">
        <f>COUNTIF(CB26:CF26,"PR")</f>
        <v>0</v>
      </c>
      <c r="CH26" s="15">
        <f>COUNTIF(CB26:CF26,"AB")</f>
        <v>0</v>
      </c>
      <c r="CI26" s="15">
        <f t="shared" si="52"/>
        <v>0</v>
      </c>
      <c r="CN26" s="15">
        <f>COUNTIF(CJ26:CM26,"PR")</f>
        <v>0</v>
      </c>
      <c r="CO26" s="15">
        <f>COUNTIF(CJ26:CM26,"AB")</f>
        <v>0</v>
      </c>
      <c r="CP26" s="15">
        <f t="shared" si="53"/>
        <v>0</v>
      </c>
      <c r="CU26" s="15">
        <f t="shared" si="7"/>
        <v>0</v>
      </c>
      <c r="CV26" s="15">
        <f t="shared" si="69"/>
        <v>0</v>
      </c>
      <c r="CW26" s="15">
        <f t="shared" si="70"/>
        <v>0</v>
      </c>
      <c r="CX26" s="15">
        <f>CG26+CN26+CU26</f>
        <v>0</v>
      </c>
      <c r="CY26" s="15" t="e">
        <f>SUM(CE26,#REF!,CS26)</f>
        <v>#REF!</v>
      </c>
      <c r="CZ26" s="78" t="e">
        <f t="shared" si="36"/>
        <v>#REF!</v>
      </c>
      <c r="DA26" s="82"/>
    </row>
    <row r="27" spans="1:105">
      <c r="A27" s="69"/>
      <c r="B27" s="14"/>
      <c r="H27" s="15">
        <f t="shared" si="64"/>
        <v>0</v>
      </c>
      <c r="I27" s="18">
        <f t="shared" si="65"/>
        <v>0</v>
      </c>
      <c r="J27" s="15">
        <f t="shared" si="66"/>
        <v>0</v>
      </c>
      <c r="O27" s="15">
        <f t="shared" si="1"/>
        <v>0</v>
      </c>
      <c r="P27" s="18">
        <f t="shared" si="67"/>
        <v>0</v>
      </c>
      <c r="Q27" s="15">
        <f t="shared" si="68"/>
        <v>0</v>
      </c>
      <c r="V27" s="15">
        <f t="shared" si="71"/>
        <v>0</v>
      </c>
      <c r="W27" s="15">
        <f t="shared" si="72"/>
        <v>0</v>
      </c>
      <c r="X27" s="15">
        <f t="shared" si="61"/>
        <v>0</v>
      </c>
      <c r="Y27" s="15">
        <f>J27+Q27+X27</f>
        <v>0</v>
      </c>
      <c r="Z27" s="15">
        <f>SUM(H27,O27,V27)</f>
        <v>0</v>
      </c>
      <c r="AA27" s="78" t="e">
        <f t="shared" si="15"/>
        <v>#DIV/0!</v>
      </c>
      <c r="AB27" s="83"/>
      <c r="AG27" s="15">
        <f t="shared" si="2"/>
        <v>0</v>
      </c>
      <c r="AH27" s="15">
        <f t="shared" si="41"/>
        <v>0</v>
      </c>
      <c r="AI27" s="15">
        <f t="shared" si="42"/>
        <v>0</v>
      </c>
      <c r="AO27" s="15">
        <f t="shared" si="3"/>
        <v>0</v>
      </c>
      <c r="AP27" s="15">
        <f t="shared" si="43"/>
        <v>0</v>
      </c>
      <c r="AQ27" s="15">
        <f t="shared" si="44"/>
        <v>0</v>
      </c>
      <c r="AV27" s="15">
        <f>COUNTIF(AR27:AU27,"PR")</f>
        <v>0</v>
      </c>
      <c r="AW27" s="15">
        <f t="shared" si="73"/>
        <v>0</v>
      </c>
      <c r="AX27" s="15">
        <f t="shared" si="45"/>
        <v>0</v>
      </c>
      <c r="AY27" s="15">
        <f>AI27+AQ27+AX27</f>
        <v>0</v>
      </c>
      <c r="AZ27" s="15">
        <f>SUM(AG27,AO27,AV27)</f>
        <v>0</v>
      </c>
      <c r="BA27" s="78" t="e">
        <f t="shared" si="22"/>
        <v>#DIV/0!</v>
      </c>
      <c r="BD27" s="1"/>
      <c r="BF27" s="15">
        <f t="shared" si="4"/>
        <v>0</v>
      </c>
      <c r="BG27" s="15">
        <f t="shared" si="46"/>
        <v>0</v>
      </c>
      <c r="BH27" s="15">
        <f t="shared" si="47"/>
        <v>0</v>
      </c>
      <c r="BN27" s="15">
        <f t="shared" si="5"/>
        <v>0</v>
      </c>
      <c r="BO27" s="15">
        <f t="shared" si="74"/>
        <v>0</v>
      </c>
      <c r="BP27" s="15">
        <f t="shared" si="48"/>
        <v>0</v>
      </c>
      <c r="BU27" s="15">
        <f t="shared" si="6"/>
        <v>0</v>
      </c>
      <c r="BV27" s="15">
        <f t="shared" si="49"/>
        <v>0</v>
      </c>
      <c r="BW27" s="15">
        <f t="shared" si="50"/>
        <v>0</v>
      </c>
      <c r="BX27" s="15">
        <f t="shared" si="75"/>
        <v>0</v>
      </c>
      <c r="BY27" s="15">
        <f t="shared" si="76"/>
        <v>0</v>
      </c>
      <c r="BZ27" s="78" t="e">
        <f t="shared" si="51"/>
        <v>#DIV/0!</v>
      </c>
      <c r="CA27" s="83"/>
      <c r="CG27" s="15">
        <f>COUNTIF(CB27:CF27,"PR")</f>
        <v>0</v>
      </c>
      <c r="CH27" s="15">
        <f>COUNTIF(CB27:CF27,"AB")</f>
        <v>0</v>
      </c>
      <c r="CI27" s="15">
        <f t="shared" si="52"/>
        <v>0</v>
      </c>
      <c r="CN27" s="15">
        <f>COUNTIF(CJ27:CM27,"PR")</f>
        <v>0</v>
      </c>
      <c r="CO27" s="15">
        <f>COUNTIF(CJ27:CM27,"AB")</f>
        <v>0</v>
      </c>
      <c r="CP27" s="15">
        <f t="shared" si="53"/>
        <v>0</v>
      </c>
      <c r="CU27" s="15">
        <f t="shared" si="7"/>
        <v>0</v>
      </c>
      <c r="CV27" s="15">
        <f t="shared" si="69"/>
        <v>0</v>
      </c>
      <c r="CW27" s="15">
        <f t="shared" si="70"/>
        <v>0</v>
      </c>
      <c r="CX27" s="15">
        <f>CG27+CN27+CU27</f>
        <v>0</v>
      </c>
      <c r="CY27" s="15" t="e">
        <f>SUM(CE27,#REF!,CS27)</f>
        <v>#REF!</v>
      </c>
      <c r="CZ27" s="78" t="e">
        <f t="shared" si="36"/>
        <v>#REF!</v>
      </c>
      <c r="DA27" s="83"/>
    </row>
    <row r="28" spans="1:105">
      <c r="A28" s="94"/>
      <c r="B28" s="14"/>
      <c r="H28" s="15">
        <f>COUNTIF(C28:G28,"PR")</f>
        <v>0</v>
      </c>
      <c r="I28" s="18">
        <f>COUNTIF(C28:G28,"AB")</f>
        <v>0</v>
      </c>
      <c r="J28" s="15">
        <f>H28+I28</f>
        <v>0</v>
      </c>
      <c r="O28" s="15">
        <f>COUNTIF(K28:N28,"PR")</f>
        <v>0</v>
      </c>
      <c r="P28" s="18">
        <f>COUNTIF(K28:N28,"AB")</f>
        <v>0</v>
      </c>
      <c r="Q28" s="15">
        <f>O28+P28</f>
        <v>0</v>
      </c>
      <c r="V28" s="15">
        <f t="shared" si="71"/>
        <v>0</v>
      </c>
      <c r="W28" s="15">
        <f t="shared" si="72"/>
        <v>0</v>
      </c>
      <c r="X28" s="15">
        <f>V28+W28</f>
        <v>0</v>
      </c>
      <c r="Y28" s="15">
        <f>J28+Q28+X28</f>
        <v>0</v>
      </c>
      <c r="Z28" s="15">
        <f>SUM(H28,O28,V28)</f>
        <v>0</v>
      </c>
      <c r="AA28" s="78" t="e">
        <f>Z28/Y28*100</f>
        <v>#DIV/0!</v>
      </c>
      <c r="AB28" s="82"/>
      <c r="AG28" s="15">
        <f>COUNTIF(AC28:AF28,"PR")</f>
        <v>0</v>
      </c>
      <c r="AH28" s="15">
        <f>COUNTIF(AC28:AF28,"AB")</f>
        <v>0</v>
      </c>
      <c r="AI28" s="15">
        <f>AG28+AH28</f>
        <v>0</v>
      </c>
      <c r="AO28" s="15">
        <f>COUNTIF(AJ28:AN28,"PR")</f>
        <v>0</v>
      </c>
      <c r="AP28" s="15">
        <f>COUNTIF(AJ28:AN28,"AB")</f>
        <v>0</v>
      </c>
      <c r="AQ28" s="15">
        <f>AO28+AP28</f>
        <v>0</v>
      </c>
      <c r="AV28" s="15">
        <f>COUNTIF(AR28:AU28,"PR")</f>
        <v>0</v>
      </c>
      <c r="AW28" s="15">
        <f t="shared" si="73"/>
        <v>0</v>
      </c>
      <c r="AX28" s="15">
        <f>AV28+AW28</f>
        <v>0</v>
      </c>
      <c r="AY28" s="15">
        <f>AI28+AQ28+AX28</f>
        <v>0</v>
      </c>
      <c r="AZ28" s="15">
        <f>SUM(AG28,AO28,AV28)</f>
        <v>0</v>
      </c>
      <c r="BA28" s="78" t="e">
        <f>AZ28/AY28*100</f>
        <v>#DIV/0!</v>
      </c>
      <c r="BD28" s="1"/>
      <c r="BF28" s="15">
        <f>COUNTIF(BB28:BE28,"PR")</f>
        <v>0</v>
      </c>
      <c r="BG28" s="15">
        <f>COUNTIF(BB28:BE28,"AB")</f>
        <v>0</v>
      </c>
      <c r="BH28" s="15">
        <f>BF28+BG28</f>
        <v>0</v>
      </c>
      <c r="BN28" s="15">
        <f>COUNTIF(BI28:BM28,"PR")</f>
        <v>0</v>
      </c>
      <c r="BO28" s="15">
        <f t="shared" si="74"/>
        <v>0</v>
      </c>
      <c r="BP28" s="15">
        <f>BN28+BO28</f>
        <v>0</v>
      </c>
      <c r="BU28" s="15">
        <f>COUNTIF(BQ28:BT28,"PR")</f>
        <v>0</v>
      </c>
      <c r="BV28" s="15">
        <f>COUNTIF(BQ28:BT28,"AB")</f>
        <v>0</v>
      </c>
      <c r="BW28" s="15">
        <f>BU28+BV28</f>
        <v>0</v>
      </c>
      <c r="BX28" s="15">
        <f>BH28+BP28+BW28</f>
        <v>0</v>
      </c>
      <c r="BY28" s="15">
        <f>SUM(BF28,BN28,BU28)</f>
        <v>0</v>
      </c>
      <c r="BZ28" s="78" t="e">
        <f>BY28/BX28*100</f>
        <v>#DIV/0!</v>
      </c>
      <c r="CA28" s="82"/>
      <c r="CG28" s="15">
        <f>COUNTIF(CB28:CF28,"PR")</f>
        <v>0</v>
      </c>
      <c r="CH28" s="15">
        <f>COUNTIF(CB28:CF28,"AB")</f>
        <v>0</v>
      </c>
      <c r="CI28" s="15">
        <f>CG28+CH28</f>
        <v>0</v>
      </c>
      <c r="CN28" s="15">
        <f>COUNTIF(CJ28:CM28,"PR")</f>
        <v>0</v>
      </c>
      <c r="CO28" s="15">
        <f>COUNTIF(CJ28:CM28,"AB")</f>
        <v>0</v>
      </c>
      <c r="CP28" s="15">
        <f>CN28+CO28</f>
        <v>0</v>
      </c>
      <c r="CU28" s="15">
        <f>COUNTIF(CQ28:CT28,"PR")</f>
        <v>0</v>
      </c>
      <c r="CV28" s="15">
        <f>COUNTIF(CQ28:CT28,"AB")</f>
        <v>0</v>
      </c>
      <c r="CW28" s="15">
        <f>CU28+CV28</f>
        <v>0</v>
      </c>
      <c r="CX28" s="15">
        <f>CG28+CN28+CU28</f>
        <v>0</v>
      </c>
      <c r="CY28" s="15" t="e">
        <f>SUM(CE28,#REF!,CS28)</f>
        <v>#REF!</v>
      </c>
      <c r="CZ28" s="78" t="e">
        <f>CY28/CX28*100</f>
        <v>#REF!</v>
      </c>
      <c r="DA28" s="82"/>
    </row>
    <row r="29" spans="1:105">
      <c r="A29" s="94"/>
      <c r="B29" s="14"/>
      <c r="H29" s="15">
        <f>COUNTIF(C29:G29,"PR")</f>
        <v>0</v>
      </c>
      <c r="I29" s="18">
        <f>COUNTIF(C29:G29,"AB")</f>
        <v>0</v>
      </c>
      <c r="J29" s="15">
        <f>H29+I29</f>
        <v>0</v>
      </c>
      <c r="O29" s="15">
        <f>COUNTIF(K29:N29,"PR")</f>
        <v>0</v>
      </c>
      <c r="P29" s="18">
        <f>COUNTIF(K29:N29,"AB")</f>
        <v>0</v>
      </c>
      <c r="Q29" s="15">
        <f>O29+P29</f>
        <v>0</v>
      </c>
      <c r="V29" s="15">
        <f t="shared" si="71"/>
        <v>0</v>
      </c>
      <c r="W29" s="15">
        <f t="shared" si="72"/>
        <v>0</v>
      </c>
      <c r="X29" s="15">
        <f>V29+W29</f>
        <v>0</v>
      </c>
      <c r="Y29" s="15">
        <f>J29+Q29+X29</f>
        <v>0</v>
      </c>
      <c r="Z29" s="15">
        <f>SUM(H29,O29,V29)</f>
        <v>0</v>
      </c>
      <c r="AA29" s="78" t="e">
        <f>Z29/Y29*100</f>
        <v>#DIV/0!</v>
      </c>
      <c r="AB29" s="82"/>
      <c r="AG29" s="15">
        <f>COUNTIF(AC29:AF29,"PR")</f>
        <v>0</v>
      </c>
      <c r="AH29" s="15">
        <f>COUNTIF(AC29:AF29,"AB")</f>
        <v>0</v>
      </c>
      <c r="AI29" s="15">
        <f>AG29+AH29</f>
        <v>0</v>
      </c>
      <c r="AO29" s="15">
        <f>COUNTIF(AJ29:AN29,"PR")</f>
        <v>0</v>
      </c>
      <c r="AP29" s="15">
        <f>COUNTIF(AJ29:AN29,"AB")</f>
        <v>0</v>
      </c>
      <c r="AQ29" s="15">
        <f>AO29+AP29</f>
        <v>0</v>
      </c>
      <c r="AV29" s="15">
        <f>COUNTIF(AR29:AU29,"PR")</f>
        <v>0</v>
      </c>
      <c r="AW29" s="15">
        <f t="shared" si="73"/>
        <v>0</v>
      </c>
      <c r="AX29" s="15">
        <f>AV29+AW29</f>
        <v>0</v>
      </c>
      <c r="AY29" s="15">
        <f>AI29+AQ29+AX29</f>
        <v>0</v>
      </c>
      <c r="AZ29" s="15">
        <f>SUM(AG29,AO29,AV29)</f>
        <v>0</v>
      </c>
      <c r="BA29" s="78" t="e">
        <f>AZ29/AY29*100</f>
        <v>#DIV/0!</v>
      </c>
      <c r="BD29" s="1"/>
      <c r="BF29" s="15">
        <f>COUNTIF(BB29:BE29,"PR")</f>
        <v>0</v>
      </c>
      <c r="BG29" s="15">
        <f>COUNTIF(BB29:BE29,"AB")</f>
        <v>0</v>
      </c>
      <c r="BH29" s="15">
        <f>BF29+BG29</f>
        <v>0</v>
      </c>
      <c r="BN29" s="15">
        <f>COUNTIF(BI29:BM29,"PR")</f>
        <v>0</v>
      </c>
      <c r="BO29" s="15">
        <f t="shared" si="74"/>
        <v>0</v>
      </c>
      <c r="BP29" s="15">
        <f>BN29+BO29</f>
        <v>0</v>
      </c>
      <c r="BU29" s="15">
        <f>COUNTIF(BQ29:BT29,"PR")</f>
        <v>0</v>
      </c>
      <c r="BV29" s="15">
        <f>COUNTIF(BQ29:BT29,"AB")</f>
        <v>0</v>
      </c>
      <c r="BW29" s="15">
        <f>BU29+BV29</f>
        <v>0</v>
      </c>
      <c r="BX29" s="15">
        <f>BH29+BP29+BW29</f>
        <v>0</v>
      </c>
      <c r="BY29" s="15">
        <f>SUM(BF29,BN29,BU29)</f>
        <v>0</v>
      </c>
      <c r="BZ29" s="78" t="e">
        <f>BY29/BX29*100</f>
        <v>#DIV/0!</v>
      </c>
      <c r="CA29" s="82"/>
      <c r="CG29" s="15">
        <f>COUNTIF(CB29:CF29,"PR")</f>
        <v>0</v>
      </c>
      <c r="CH29" s="15">
        <f>COUNTIF(CB29:CF29,"AB")</f>
        <v>0</v>
      </c>
      <c r="CI29" s="15">
        <f>CG29+CH29</f>
        <v>0</v>
      </c>
      <c r="CN29" s="15">
        <f>COUNTIF(CJ29:CM29,"PR")</f>
        <v>0</v>
      </c>
      <c r="CO29" s="15">
        <f>COUNTIF(CJ29:CM29,"AB")</f>
        <v>0</v>
      </c>
      <c r="CP29" s="15">
        <f>CN29+CO29</f>
        <v>0</v>
      </c>
      <c r="CU29" s="15">
        <f>COUNTIF(CQ29:CT29,"PR")</f>
        <v>0</v>
      </c>
      <c r="CV29" s="15">
        <f>COUNTIF(CQ29:CT29,"AB")</f>
        <v>0</v>
      </c>
      <c r="CW29" s="15">
        <f>CU29+CV29</f>
        <v>0</v>
      </c>
      <c r="CX29" s="15">
        <f>CG29+CN29+CU29</f>
        <v>0</v>
      </c>
      <c r="CY29" s="15" t="e">
        <f>SUM(CE29,#REF!,CS29)</f>
        <v>#REF!</v>
      </c>
      <c r="CZ29" s="78" t="e">
        <f>CY29/CX29*100</f>
        <v>#REF!</v>
      </c>
      <c r="DA29" s="82"/>
    </row>
    <row r="30" spans="1:105">
      <c r="A30" s="91"/>
      <c r="B30" s="14"/>
      <c r="H30" s="15">
        <f t="shared" si="64"/>
        <v>0</v>
      </c>
      <c r="I30" s="18">
        <f t="shared" si="65"/>
        <v>0</v>
      </c>
      <c r="J30" s="15">
        <f t="shared" si="66"/>
        <v>0</v>
      </c>
      <c r="O30" s="15">
        <f t="shared" ref="O30:O78" si="77">COUNTIF(K30:N30,"PR")</f>
        <v>0</v>
      </c>
      <c r="P30" s="18">
        <f t="shared" si="67"/>
        <v>0</v>
      </c>
      <c r="Q30" s="15">
        <f t="shared" si="68"/>
        <v>0</v>
      </c>
      <c r="V30" s="15">
        <f t="shared" si="71"/>
        <v>0</v>
      </c>
      <c r="W30" s="15">
        <f t="shared" si="72"/>
        <v>0</v>
      </c>
      <c r="X30" s="15">
        <f t="shared" si="61"/>
        <v>0</v>
      </c>
      <c r="Y30" s="15">
        <f>J30+Q30+X30</f>
        <v>0</v>
      </c>
      <c r="Z30" s="15">
        <f>SUM(H30,O30,V30)</f>
        <v>0</v>
      </c>
      <c r="AA30" s="78" t="e">
        <f t="shared" ref="AA30:AA79" si="78">Z30/Y30*100</f>
        <v>#DIV/0!</v>
      </c>
      <c r="AB30" s="78"/>
      <c r="AG30" s="15">
        <f t="shared" ref="AG30:AG78" si="79">COUNTIF(AC30:AF30,"PR")</f>
        <v>0</v>
      </c>
      <c r="AH30" s="15">
        <f t="shared" si="41"/>
        <v>0</v>
      </c>
      <c r="AI30" s="15">
        <f t="shared" si="42"/>
        <v>0</v>
      </c>
      <c r="AO30" s="15">
        <f t="shared" ref="AO30:AO78" si="80">COUNTIF(AJ30:AN30,"PR")</f>
        <v>0</v>
      </c>
      <c r="AP30" s="15">
        <f t="shared" si="43"/>
        <v>0</v>
      </c>
      <c r="AQ30" s="15">
        <f t="shared" si="44"/>
        <v>0</v>
      </c>
      <c r="AV30" s="15">
        <f>COUNTIF(AR30:AU30,"PR")</f>
        <v>0</v>
      </c>
      <c r="AW30" s="15">
        <f t="shared" si="73"/>
        <v>0</v>
      </c>
      <c r="AX30" s="15">
        <f t="shared" si="45"/>
        <v>0</v>
      </c>
      <c r="AY30" s="15">
        <f>AI30+AQ30+AX30</f>
        <v>0</v>
      </c>
      <c r="AZ30" s="15">
        <f>SUM(AG30,AO30,AV30)</f>
        <v>0</v>
      </c>
      <c r="BA30" s="78" t="e">
        <f t="shared" ref="BA30:BA79" si="81">AZ30/AY30*100</f>
        <v>#DIV/0!</v>
      </c>
      <c r="BD30" s="1"/>
      <c r="BF30" s="15">
        <f t="shared" ref="BF30:BF78" si="82">COUNTIF(BB30:BE30,"PR")</f>
        <v>0</v>
      </c>
      <c r="BG30" s="15">
        <f t="shared" si="46"/>
        <v>0</v>
      </c>
      <c r="BH30" s="15">
        <f t="shared" si="47"/>
        <v>0</v>
      </c>
      <c r="BN30" s="15">
        <f t="shared" ref="BN30:BN78" si="83">COUNTIF(BI30:BM30,"PR")</f>
        <v>0</v>
      </c>
      <c r="BO30" s="15">
        <f t="shared" si="74"/>
        <v>0</v>
      </c>
      <c r="BP30" s="15">
        <f t="shared" si="48"/>
        <v>0</v>
      </c>
      <c r="BU30" s="15">
        <f t="shared" ref="BU30:BU78" si="84">COUNTIF(BQ30:BT30,"PR")</f>
        <v>0</v>
      </c>
      <c r="BV30" s="15">
        <f t="shared" si="49"/>
        <v>0</v>
      </c>
      <c r="BW30" s="15">
        <f t="shared" si="50"/>
        <v>0</v>
      </c>
      <c r="BX30" s="15">
        <f t="shared" si="75"/>
        <v>0</v>
      </c>
      <c r="BY30" s="15">
        <f t="shared" si="76"/>
        <v>0</v>
      </c>
      <c r="BZ30" s="78" t="e">
        <f t="shared" ref="BZ30:BZ34" si="85">BY30/BX30*100</f>
        <v>#DIV/0!</v>
      </c>
      <c r="CA30" s="78"/>
      <c r="CG30" s="15">
        <f>COUNTIF(CB30:CF30,"PR")</f>
        <v>0</v>
      </c>
      <c r="CH30" s="15">
        <f>COUNTIF(CB30:CF30,"AB")</f>
        <v>0</v>
      </c>
      <c r="CI30" s="15">
        <f t="shared" si="52"/>
        <v>0</v>
      </c>
      <c r="CN30" s="15">
        <f>COUNTIF(CJ30:CM30,"PR")</f>
        <v>0</v>
      </c>
      <c r="CO30" s="15">
        <f>COUNTIF(CJ30:CM30,"AB")</f>
        <v>0</v>
      </c>
      <c r="CP30" s="15">
        <f t="shared" si="53"/>
        <v>0</v>
      </c>
      <c r="CU30" s="15">
        <f t="shared" ref="CU30:CU78" si="86">COUNTIF(CQ30:CT30,"PR")</f>
        <v>0</v>
      </c>
      <c r="CV30" s="15">
        <f t="shared" si="69"/>
        <v>0</v>
      </c>
      <c r="CW30" s="15">
        <f t="shared" si="70"/>
        <v>0</v>
      </c>
      <c r="CX30" s="15">
        <f>CG30+CN30+CU30</f>
        <v>0</v>
      </c>
      <c r="CY30" s="15" t="e">
        <f>SUM(CE30,#REF!,CS30)</f>
        <v>#REF!</v>
      </c>
      <c r="CZ30" s="78" t="e">
        <f t="shared" ref="CZ30:CZ34" si="87">CY30/CX30*100</f>
        <v>#REF!</v>
      </c>
      <c r="DA30" s="78"/>
    </row>
    <row r="31" spans="1:105">
      <c r="A31" s="91"/>
      <c r="B31" s="14"/>
      <c r="H31" s="15">
        <f t="shared" si="64"/>
        <v>0</v>
      </c>
      <c r="I31" s="18">
        <f t="shared" si="65"/>
        <v>0</v>
      </c>
      <c r="J31" s="15">
        <f t="shared" si="66"/>
        <v>0</v>
      </c>
      <c r="O31" s="15">
        <f t="shared" si="77"/>
        <v>0</v>
      </c>
      <c r="P31" s="18">
        <f t="shared" si="67"/>
        <v>0</v>
      </c>
      <c r="Q31" s="15">
        <f t="shared" si="68"/>
        <v>0</v>
      </c>
      <c r="V31" s="15">
        <f t="shared" si="71"/>
        <v>0</v>
      </c>
      <c r="W31" s="15">
        <f t="shared" si="72"/>
        <v>0</v>
      </c>
      <c r="X31" s="15">
        <f t="shared" si="61"/>
        <v>0</v>
      </c>
      <c r="Y31" s="15">
        <f>J31+Q31+X31</f>
        <v>0</v>
      </c>
      <c r="Z31" s="15">
        <f>SUM(H31,O31,V31)</f>
        <v>0</v>
      </c>
      <c r="AA31" s="78" t="e">
        <f t="shared" si="78"/>
        <v>#DIV/0!</v>
      </c>
      <c r="AB31" s="78"/>
      <c r="AG31" s="15">
        <f t="shared" si="79"/>
        <v>0</v>
      </c>
      <c r="AH31" s="15">
        <f t="shared" si="41"/>
        <v>0</v>
      </c>
      <c r="AI31" s="15">
        <f t="shared" si="42"/>
        <v>0</v>
      </c>
      <c r="AO31" s="15">
        <f t="shared" si="80"/>
        <v>0</v>
      </c>
      <c r="AP31" s="15">
        <f t="shared" si="43"/>
        <v>0</v>
      </c>
      <c r="AQ31" s="15">
        <f t="shared" si="44"/>
        <v>0</v>
      </c>
      <c r="AV31" s="15">
        <f>COUNTIF(AR31:AU31,"PR")</f>
        <v>0</v>
      </c>
      <c r="AW31" s="15">
        <f t="shared" si="73"/>
        <v>0</v>
      </c>
      <c r="AX31" s="15">
        <f t="shared" si="45"/>
        <v>0</v>
      </c>
      <c r="AY31" s="15">
        <f>AI31+AQ31+AX31</f>
        <v>0</v>
      </c>
      <c r="AZ31" s="15">
        <f>SUM(AG31,AO31,AV31)</f>
        <v>0</v>
      </c>
      <c r="BA31" s="78" t="e">
        <f t="shared" si="81"/>
        <v>#DIV/0!</v>
      </c>
      <c r="BD31" s="1"/>
      <c r="BF31" s="15">
        <f t="shared" si="82"/>
        <v>0</v>
      </c>
      <c r="BG31" s="15">
        <f t="shared" si="46"/>
        <v>0</v>
      </c>
      <c r="BH31" s="15">
        <f t="shared" si="47"/>
        <v>0</v>
      </c>
      <c r="BN31" s="15">
        <f t="shared" si="83"/>
        <v>0</v>
      </c>
      <c r="BO31" s="15">
        <f t="shared" si="74"/>
        <v>0</v>
      </c>
      <c r="BP31" s="15">
        <f t="shared" si="48"/>
        <v>0</v>
      </c>
      <c r="BU31" s="15">
        <f t="shared" si="84"/>
        <v>0</v>
      </c>
      <c r="BV31" s="15">
        <f t="shared" si="49"/>
        <v>0</v>
      </c>
      <c r="BW31" s="15">
        <f t="shared" si="50"/>
        <v>0</v>
      </c>
      <c r="BX31" s="15">
        <f t="shared" si="75"/>
        <v>0</v>
      </c>
      <c r="BY31" s="15">
        <f t="shared" si="76"/>
        <v>0</v>
      </c>
      <c r="BZ31" s="78" t="e">
        <f t="shared" si="85"/>
        <v>#DIV/0!</v>
      </c>
      <c r="CA31" s="78"/>
      <c r="CG31" s="15">
        <f>COUNTIF(CB31:CF31,"PR")</f>
        <v>0</v>
      </c>
      <c r="CH31" s="15">
        <f>COUNTIF(CB31:CF31,"AB")</f>
        <v>0</v>
      </c>
      <c r="CI31" s="15">
        <f t="shared" si="52"/>
        <v>0</v>
      </c>
      <c r="CN31" s="15">
        <f>COUNTIF(CJ31:CM31,"PR")</f>
        <v>0</v>
      </c>
      <c r="CO31" s="15">
        <f>COUNTIF(CJ31:CM31,"AB")</f>
        <v>0</v>
      </c>
      <c r="CP31" s="15">
        <f t="shared" si="53"/>
        <v>0</v>
      </c>
      <c r="CU31" s="15">
        <f t="shared" si="86"/>
        <v>0</v>
      </c>
      <c r="CV31" s="15">
        <f t="shared" si="69"/>
        <v>0</v>
      </c>
      <c r="CW31" s="15">
        <f t="shared" si="70"/>
        <v>0</v>
      </c>
      <c r="CX31" s="15">
        <f>CG31+CN31+CU31</f>
        <v>0</v>
      </c>
      <c r="CY31" s="15" t="e">
        <f>SUM(CE31,#REF!,CS31)</f>
        <v>#REF!</v>
      </c>
      <c r="CZ31" s="78" t="e">
        <f t="shared" si="87"/>
        <v>#REF!</v>
      </c>
      <c r="DA31" s="78"/>
    </row>
    <row r="32" spans="1:105">
      <c r="A32" s="91"/>
      <c r="B32" s="14"/>
      <c r="H32" s="15">
        <f t="shared" si="64"/>
        <v>0</v>
      </c>
      <c r="I32" s="18">
        <f t="shared" si="65"/>
        <v>0</v>
      </c>
      <c r="J32" s="15">
        <f t="shared" si="66"/>
        <v>0</v>
      </c>
      <c r="O32" s="15">
        <f t="shared" si="77"/>
        <v>0</v>
      </c>
      <c r="P32" s="18">
        <f t="shared" si="67"/>
        <v>0</v>
      </c>
      <c r="Q32" s="15">
        <f t="shared" si="68"/>
        <v>0</v>
      </c>
      <c r="V32" s="15">
        <f t="shared" si="71"/>
        <v>0</v>
      </c>
      <c r="W32" s="15">
        <f t="shared" si="72"/>
        <v>0</v>
      </c>
      <c r="X32" s="15">
        <f t="shared" si="61"/>
        <v>0</v>
      </c>
      <c r="Y32" s="15">
        <f>J32+Q32+X32</f>
        <v>0</v>
      </c>
      <c r="Z32" s="15">
        <f>SUM(H32,O32,V32)</f>
        <v>0</v>
      </c>
      <c r="AA32" s="78" t="e">
        <f t="shared" si="78"/>
        <v>#DIV/0!</v>
      </c>
      <c r="AB32" s="78"/>
      <c r="AC32" s="76"/>
      <c r="AD32" s="72"/>
      <c r="AE32" s="72"/>
      <c r="AF32" s="72"/>
      <c r="AG32" s="15">
        <f t="shared" si="79"/>
        <v>0</v>
      </c>
      <c r="AH32" s="15">
        <f t="shared" ref="AH32:AH94" si="88">COUNTIF(AC32:AF32,"AB")</f>
        <v>0</v>
      </c>
      <c r="AI32" s="15">
        <f t="shared" ref="AI32:AI94" si="89">AG32+AH32</f>
        <v>0</v>
      </c>
      <c r="AJ32" s="76"/>
      <c r="AK32" s="72"/>
      <c r="AL32" s="72"/>
      <c r="AM32" s="72"/>
      <c r="AN32" s="72"/>
      <c r="AO32" s="15">
        <f t="shared" si="80"/>
        <v>0</v>
      </c>
      <c r="AP32" s="15">
        <f t="shared" ref="AP32:AP94" si="90">COUNTIF(AJ32:AN32,"AB")</f>
        <v>0</v>
      </c>
      <c r="AQ32" s="15">
        <f t="shared" ref="AQ32:AQ94" si="91">AO32+AP32</f>
        <v>0</v>
      </c>
      <c r="AR32" s="76"/>
      <c r="AS32" s="72"/>
      <c r="AT32" s="72"/>
      <c r="AU32" s="72"/>
      <c r="AV32" s="15">
        <f>COUNTIF(AR32:AU32,"PR")</f>
        <v>0</v>
      </c>
      <c r="AW32" s="15">
        <f t="shared" si="73"/>
        <v>0</v>
      </c>
      <c r="AX32" s="15">
        <f t="shared" si="45"/>
        <v>0</v>
      </c>
      <c r="AY32" s="15">
        <f>AI32+AQ32+AX32</f>
        <v>0</v>
      </c>
      <c r="AZ32" s="15">
        <f>SUM(AG32,AO32,AV32)</f>
        <v>0</v>
      </c>
      <c r="BA32" s="78" t="e">
        <f t="shared" si="81"/>
        <v>#DIV/0!</v>
      </c>
      <c r="BD32" s="1"/>
      <c r="BF32" s="15">
        <f t="shared" si="82"/>
        <v>0</v>
      </c>
      <c r="BG32" s="15">
        <f t="shared" ref="BG32:BG94" si="92">COUNTIF(BB32:BE32,"AB")</f>
        <v>0</v>
      </c>
      <c r="BH32" s="15">
        <f t="shared" ref="BH32:BH94" si="93">BF32+BG32</f>
        <v>0</v>
      </c>
      <c r="BN32" s="15">
        <f t="shared" si="83"/>
        <v>0</v>
      </c>
      <c r="BO32" s="15">
        <f t="shared" si="74"/>
        <v>0</v>
      </c>
      <c r="BP32" s="15">
        <f t="shared" ref="BP32:BP94" si="94">BN32+BO32</f>
        <v>0</v>
      </c>
      <c r="BU32" s="15">
        <f t="shared" si="84"/>
        <v>0</v>
      </c>
      <c r="BV32" s="15">
        <f t="shared" ref="BV32:BV94" si="95">COUNTIF(BQ32:BT32,"AB")</f>
        <v>0</v>
      </c>
      <c r="BW32" s="15">
        <f>BU32+BV32</f>
        <v>0</v>
      </c>
      <c r="BX32" s="15">
        <f t="shared" si="75"/>
        <v>0</v>
      </c>
      <c r="BY32" s="15">
        <f t="shared" si="76"/>
        <v>0</v>
      </c>
      <c r="BZ32" s="78" t="e">
        <f t="shared" si="85"/>
        <v>#DIV/0!</v>
      </c>
      <c r="CA32" s="78"/>
      <c r="CG32" s="15">
        <f>COUNTIF(CB32:CF32,"PR")</f>
        <v>0</v>
      </c>
      <c r="CH32" s="15">
        <f>COUNTIF(CB32:CF32,"AB")</f>
        <v>0</v>
      </c>
      <c r="CI32" s="15">
        <f t="shared" ref="CI32:CI94" si="96">CG32+CH32</f>
        <v>0</v>
      </c>
      <c r="CN32" s="15">
        <f>COUNTIF(CJ32:CM32,"PR")</f>
        <v>0</v>
      </c>
      <c r="CO32" s="15">
        <f>COUNTIF(CJ32:CM32,"AB")</f>
        <v>0</v>
      </c>
      <c r="CP32" s="15">
        <f t="shared" ref="CP32:CP94" si="97">CN32+CO32</f>
        <v>0</v>
      </c>
      <c r="CU32" s="15">
        <f t="shared" si="86"/>
        <v>0</v>
      </c>
      <c r="CV32" s="15">
        <f t="shared" si="69"/>
        <v>0</v>
      </c>
      <c r="CW32" s="15">
        <f t="shared" si="70"/>
        <v>0</v>
      </c>
      <c r="CX32" s="15">
        <f>CG32+CN32+CU32</f>
        <v>0</v>
      </c>
      <c r="CY32" s="15" t="e">
        <f>SUM(CE32,#REF!,CS32)</f>
        <v>#REF!</v>
      </c>
      <c r="CZ32" s="78" t="e">
        <f t="shared" si="87"/>
        <v>#REF!</v>
      </c>
      <c r="DA32" s="78"/>
    </row>
    <row r="33" spans="1:105">
      <c r="A33" s="91"/>
      <c r="B33" s="14"/>
      <c r="H33" s="15">
        <f t="shared" si="64"/>
        <v>0</v>
      </c>
      <c r="I33" s="18">
        <f t="shared" si="65"/>
        <v>0</v>
      </c>
      <c r="J33" s="15">
        <f t="shared" si="66"/>
        <v>0</v>
      </c>
      <c r="O33" s="15">
        <f t="shared" si="77"/>
        <v>0</v>
      </c>
      <c r="P33" s="18">
        <f t="shared" si="67"/>
        <v>0</v>
      </c>
      <c r="Q33" s="15">
        <f t="shared" si="68"/>
        <v>0</v>
      </c>
      <c r="V33" s="15">
        <f t="shared" si="71"/>
        <v>0</v>
      </c>
      <c r="W33" s="15">
        <f t="shared" si="72"/>
        <v>0</v>
      </c>
      <c r="X33" s="15">
        <f t="shared" si="61"/>
        <v>0</v>
      </c>
      <c r="Y33" s="15">
        <f>J33+Q33+X33</f>
        <v>0</v>
      </c>
      <c r="Z33" s="15">
        <f>SUM(H33,O33,V33)</f>
        <v>0</v>
      </c>
      <c r="AA33" s="78" t="e">
        <f t="shared" si="78"/>
        <v>#DIV/0!</v>
      </c>
      <c r="AB33" s="78"/>
      <c r="AG33" s="15">
        <f t="shared" si="79"/>
        <v>0</v>
      </c>
      <c r="AH33" s="15">
        <f t="shared" si="88"/>
        <v>0</v>
      </c>
      <c r="AI33" s="15">
        <f t="shared" si="89"/>
        <v>0</v>
      </c>
      <c r="AO33" s="15">
        <f t="shared" si="80"/>
        <v>0</v>
      </c>
      <c r="AP33" s="15">
        <f t="shared" si="90"/>
        <v>0</v>
      </c>
      <c r="AQ33" s="15">
        <f t="shared" si="91"/>
        <v>0</v>
      </c>
      <c r="AV33" s="15">
        <f>COUNTIF(AR33:AU33,"PR")</f>
        <v>0</v>
      </c>
      <c r="AW33" s="15">
        <f t="shared" si="73"/>
        <v>0</v>
      </c>
      <c r="AX33" s="15">
        <f t="shared" ref="AX33:AX95" si="98">AV33+AW33</f>
        <v>0</v>
      </c>
      <c r="AY33" s="15">
        <f>AI33+AQ33+AX33</f>
        <v>0</v>
      </c>
      <c r="AZ33" s="15">
        <f>SUM(AG33,AO33,AV33)</f>
        <v>0</v>
      </c>
      <c r="BA33" s="78" t="e">
        <f t="shared" si="81"/>
        <v>#DIV/0!</v>
      </c>
      <c r="BD33" s="1"/>
      <c r="BF33" s="15">
        <f t="shared" si="82"/>
        <v>0</v>
      </c>
      <c r="BG33" s="15">
        <f t="shared" si="92"/>
        <v>0</v>
      </c>
      <c r="BH33" s="15">
        <f t="shared" si="93"/>
        <v>0</v>
      </c>
      <c r="BN33" s="15">
        <f t="shared" si="83"/>
        <v>0</v>
      </c>
      <c r="BO33" s="15">
        <f t="shared" si="74"/>
        <v>0</v>
      </c>
      <c r="BP33" s="15">
        <f t="shared" si="94"/>
        <v>0</v>
      </c>
      <c r="BU33" s="15">
        <f t="shared" si="84"/>
        <v>0</v>
      </c>
      <c r="BV33" s="15">
        <f t="shared" si="95"/>
        <v>0</v>
      </c>
      <c r="BW33" s="15">
        <f>BU33+BV33</f>
        <v>0</v>
      </c>
      <c r="BX33" s="15">
        <f t="shared" si="75"/>
        <v>0</v>
      </c>
      <c r="BY33" s="15">
        <f t="shared" si="76"/>
        <v>0</v>
      </c>
      <c r="BZ33" s="78" t="e">
        <f t="shared" si="85"/>
        <v>#DIV/0!</v>
      </c>
      <c r="CA33" s="78"/>
      <c r="CG33" s="15">
        <f>COUNTIF(CB33:CF33,"PR")</f>
        <v>0</v>
      </c>
      <c r="CH33" s="15">
        <f>COUNTIF(CB33:CF33,"AB")</f>
        <v>0</v>
      </c>
      <c r="CI33" s="15">
        <f t="shared" si="96"/>
        <v>0</v>
      </c>
      <c r="CN33" s="15">
        <f>COUNTIF(CJ33:CM33,"PR")</f>
        <v>0</v>
      </c>
      <c r="CO33" s="15">
        <f>COUNTIF(CJ33:CM33,"AB")</f>
        <v>0</v>
      </c>
      <c r="CP33" s="15">
        <f t="shared" si="97"/>
        <v>0</v>
      </c>
      <c r="CU33" s="15">
        <f t="shared" si="86"/>
        <v>0</v>
      </c>
      <c r="CV33" s="15">
        <f t="shared" si="69"/>
        <v>0</v>
      </c>
      <c r="CW33" s="15">
        <f t="shared" si="70"/>
        <v>0</v>
      </c>
      <c r="CX33" s="15">
        <f>CG33+CN33+CU33</f>
        <v>0</v>
      </c>
      <c r="CY33" s="15" t="e">
        <f>SUM(CE33,#REF!,CS33)</f>
        <v>#REF!</v>
      </c>
      <c r="CZ33" s="78" t="e">
        <f t="shared" si="87"/>
        <v>#REF!</v>
      </c>
      <c r="DA33" s="78"/>
    </row>
    <row r="34" spans="1:105">
      <c r="A34" s="91"/>
      <c r="B34" s="14"/>
      <c r="H34" s="15">
        <f t="shared" si="64"/>
        <v>0</v>
      </c>
      <c r="I34" s="18">
        <f t="shared" si="65"/>
        <v>0</v>
      </c>
      <c r="J34" s="15">
        <f t="shared" si="66"/>
        <v>0</v>
      </c>
      <c r="O34" s="15">
        <f t="shared" si="77"/>
        <v>0</v>
      </c>
      <c r="P34" s="18">
        <f t="shared" si="67"/>
        <v>0</v>
      </c>
      <c r="Q34" s="15">
        <f t="shared" si="68"/>
        <v>0</v>
      </c>
      <c r="V34" s="15">
        <f t="shared" si="71"/>
        <v>0</v>
      </c>
      <c r="W34" s="15">
        <f t="shared" si="72"/>
        <v>0</v>
      </c>
      <c r="X34" s="15">
        <f t="shared" ref="X34:X96" si="99">V34+W34</f>
        <v>0</v>
      </c>
      <c r="Y34" s="15">
        <f>J34+Q34+X34</f>
        <v>0</v>
      </c>
      <c r="Z34" s="15">
        <f>SUM(H34,O34,V34)</f>
        <v>0</v>
      </c>
      <c r="AA34" s="78" t="e">
        <f t="shared" si="78"/>
        <v>#DIV/0!</v>
      </c>
      <c r="AB34" s="78"/>
      <c r="AG34" s="15">
        <f t="shared" si="79"/>
        <v>0</v>
      </c>
      <c r="AH34" s="15">
        <f t="shared" si="88"/>
        <v>0</v>
      </c>
      <c r="AI34" s="15">
        <f t="shared" si="89"/>
        <v>0</v>
      </c>
      <c r="AO34" s="15">
        <f t="shared" si="80"/>
        <v>0</v>
      </c>
      <c r="AP34" s="15">
        <f t="shared" si="90"/>
        <v>0</v>
      </c>
      <c r="AQ34" s="15">
        <f t="shared" si="91"/>
        <v>0</v>
      </c>
      <c r="AV34" s="15">
        <f>COUNTIF(AR34:AU34,"PR")</f>
        <v>0</v>
      </c>
      <c r="AW34" s="15">
        <f t="shared" si="73"/>
        <v>0</v>
      </c>
      <c r="AX34" s="15">
        <f t="shared" si="98"/>
        <v>0</v>
      </c>
      <c r="AY34" s="15">
        <f>AI34+AQ34+AX34</f>
        <v>0</v>
      </c>
      <c r="AZ34" s="15">
        <f>SUM(AG34,AO34,AV34)</f>
        <v>0</v>
      </c>
      <c r="BA34" s="78" t="e">
        <f t="shared" si="81"/>
        <v>#DIV/0!</v>
      </c>
      <c r="BD34" s="1"/>
      <c r="BF34" s="15">
        <f t="shared" si="82"/>
        <v>0</v>
      </c>
      <c r="BG34" s="15">
        <f t="shared" si="92"/>
        <v>0</v>
      </c>
      <c r="BH34" s="15">
        <f t="shared" si="93"/>
        <v>0</v>
      </c>
      <c r="BN34" s="15">
        <f t="shared" si="83"/>
        <v>0</v>
      </c>
      <c r="BO34" s="15">
        <f t="shared" si="74"/>
        <v>0</v>
      </c>
      <c r="BP34" s="15">
        <f t="shared" si="94"/>
        <v>0</v>
      </c>
      <c r="BU34" s="15">
        <f t="shared" si="84"/>
        <v>0</v>
      </c>
      <c r="BV34" s="15">
        <f t="shared" si="95"/>
        <v>0</v>
      </c>
      <c r="BW34" s="15">
        <f>BU34+BV34</f>
        <v>0</v>
      </c>
      <c r="BX34" s="15">
        <f t="shared" si="75"/>
        <v>0</v>
      </c>
      <c r="BY34" s="15">
        <f t="shared" si="76"/>
        <v>0</v>
      </c>
      <c r="BZ34" s="78" t="e">
        <f t="shared" si="85"/>
        <v>#DIV/0!</v>
      </c>
      <c r="CA34" s="78"/>
      <c r="CG34" s="15">
        <f>COUNTIF(CB34:CF34,"PR")</f>
        <v>0</v>
      </c>
      <c r="CH34" s="15">
        <f>COUNTIF(CB34:CF34,"AB")</f>
        <v>0</v>
      </c>
      <c r="CI34" s="15">
        <f t="shared" si="96"/>
        <v>0</v>
      </c>
      <c r="CN34" s="15">
        <f>COUNTIF(CJ34:CM34,"PR")</f>
        <v>0</v>
      </c>
      <c r="CO34" s="15">
        <f>COUNTIF(CJ34:CM34,"AB")</f>
        <v>0</v>
      </c>
      <c r="CP34" s="15">
        <f t="shared" si="97"/>
        <v>0</v>
      </c>
      <c r="CU34" s="15">
        <f t="shared" si="86"/>
        <v>0</v>
      </c>
      <c r="CV34" s="15">
        <f t="shared" si="69"/>
        <v>0</v>
      </c>
      <c r="CW34" s="15">
        <f t="shared" si="70"/>
        <v>0</v>
      </c>
      <c r="CX34" s="15">
        <f>CG34+CN34+CU34</f>
        <v>0</v>
      </c>
      <c r="CY34" s="15" t="e">
        <f>SUM(CE34,#REF!,CS34)</f>
        <v>#REF!</v>
      </c>
      <c r="CZ34" s="78" t="e">
        <f t="shared" si="87"/>
        <v>#REF!</v>
      </c>
      <c r="DA34" s="78"/>
    </row>
    <row r="35" spans="1:105" s="8" customFormat="1">
      <c r="A35" s="92"/>
      <c r="H35" s="11">
        <f>SUM(H22:H34)</f>
        <v>0</v>
      </c>
      <c r="I35" s="11"/>
      <c r="J35" s="11">
        <f>SUM(J22:J34)</f>
        <v>0</v>
      </c>
      <c r="O35" s="11">
        <f>SUM(O22:O34)</f>
        <v>0</v>
      </c>
      <c r="P35" s="11"/>
      <c r="Q35" s="11">
        <f>SUM(Q22:Q34)</f>
        <v>0</v>
      </c>
      <c r="V35" s="11">
        <f>SUM(V22:V34)</f>
        <v>0</v>
      </c>
      <c r="W35" s="11"/>
      <c r="X35" s="11">
        <f>SUM(X22:X34)</f>
        <v>0</v>
      </c>
      <c r="Y35" s="11">
        <f>SUM(Y30:Y34)</f>
        <v>0</v>
      </c>
      <c r="Z35" s="11"/>
      <c r="AG35" s="11">
        <f>SUM(AG22:AG34)</f>
        <v>0</v>
      </c>
      <c r="AH35" s="11"/>
      <c r="AI35" s="11">
        <f>SUM(AI22:AI34)</f>
        <v>0</v>
      </c>
      <c r="AO35" s="11">
        <f>SUM(AO22:AO34)</f>
        <v>0</v>
      </c>
      <c r="AP35" s="11"/>
      <c r="AQ35" s="11">
        <f>SUM(AQ22:AQ34)</f>
        <v>0</v>
      </c>
      <c r="AV35" s="11">
        <f>SUM(AV22:AV34)</f>
        <v>0</v>
      </c>
      <c r="AW35" s="11"/>
      <c r="AX35" s="11">
        <f>SUM(AX22:AX34)</f>
        <v>0</v>
      </c>
      <c r="AY35" s="11">
        <f>SUM(AY30:AY34)</f>
        <v>0</v>
      </c>
      <c r="AZ35" s="11"/>
      <c r="BD35" s="85"/>
      <c r="BF35" s="11">
        <f>SUM(BF22:BF34)</f>
        <v>0</v>
      </c>
      <c r="BG35" s="11"/>
      <c r="BH35" s="11">
        <f>SUM(BH22:BH34)</f>
        <v>0</v>
      </c>
      <c r="BN35" s="11">
        <f>SUM(BN22:BN34)</f>
        <v>0</v>
      </c>
      <c r="BO35" s="11"/>
      <c r="BP35" s="11">
        <f>SUM(BP22:BP34)</f>
        <v>0</v>
      </c>
      <c r="BU35" s="11">
        <f>SUM(BU22:BU34)</f>
        <v>0</v>
      </c>
      <c r="BV35" s="11"/>
      <c r="BW35" s="11">
        <f>SUM(BW22:BW34)</f>
        <v>0</v>
      </c>
      <c r="BX35" s="11">
        <f>SUM(BX30:BX34)</f>
        <v>0</v>
      </c>
      <c r="BY35" s="11"/>
      <c r="CG35" s="11">
        <f>SUM(CG22:CG34)</f>
        <v>0</v>
      </c>
      <c r="CH35" s="11"/>
      <c r="CI35" s="11">
        <f>SUM(CI22:CI34)</f>
        <v>0</v>
      </c>
      <c r="CN35" s="11">
        <f>SUM(CN22:CN34)</f>
        <v>0</v>
      </c>
      <c r="CO35" s="11"/>
      <c r="CP35" s="11">
        <f>SUM(CP22:CP34)</f>
        <v>0</v>
      </c>
      <c r="CU35" s="11">
        <f>SUM(CU22:CU34)</f>
        <v>0</v>
      </c>
      <c r="CV35" s="11"/>
      <c r="CW35" s="11">
        <f>SUM(CW22:CW34)</f>
        <v>0</v>
      </c>
      <c r="CX35" s="11">
        <f>SUM(CX30:CX34)</f>
        <v>0</v>
      </c>
      <c r="CY35" s="11"/>
    </row>
    <row r="36" spans="1:105" s="8" customFormat="1">
      <c r="A36" s="10" t="s">
        <v>75</v>
      </c>
      <c r="H36" s="11"/>
      <c r="I36" s="11"/>
      <c r="J36" s="11"/>
      <c r="O36" s="11"/>
      <c r="P36" s="11"/>
      <c r="Q36" s="11"/>
      <c r="V36" s="11"/>
      <c r="W36" s="11"/>
      <c r="X36" s="11"/>
      <c r="Y36" s="11"/>
      <c r="Z36" s="11"/>
      <c r="AG36" s="11"/>
      <c r="AH36" s="11"/>
      <c r="AI36" s="11"/>
      <c r="AO36" s="11"/>
      <c r="AP36" s="11"/>
      <c r="AQ36" s="11"/>
      <c r="AV36" s="11"/>
      <c r="AW36" s="11"/>
      <c r="AX36" s="11"/>
      <c r="AY36" s="11"/>
      <c r="AZ36" s="11"/>
      <c r="BD36" s="85"/>
      <c r="BF36" s="11"/>
      <c r="BG36" s="11"/>
      <c r="BH36" s="11"/>
      <c r="BN36" s="11"/>
      <c r="BO36" s="11"/>
      <c r="BP36" s="11"/>
      <c r="BU36" s="11"/>
      <c r="BV36" s="11"/>
      <c r="BW36" s="11"/>
      <c r="BX36" s="11"/>
      <c r="BY36" s="11"/>
      <c r="CG36" s="11"/>
      <c r="CH36" s="11"/>
      <c r="CI36" s="11"/>
      <c r="CN36" s="11"/>
      <c r="CO36" s="11"/>
      <c r="CP36" s="11"/>
      <c r="CU36" s="11"/>
      <c r="CV36" s="11"/>
      <c r="CW36" s="11"/>
      <c r="CX36" s="11"/>
      <c r="CY36" s="11"/>
    </row>
    <row r="37" spans="1:105">
      <c r="A37" s="94"/>
      <c r="B37" s="14"/>
      <c r="H37" s="15">
        <f t="shared" ref="H37:H98" si="100">COUNTIF(C37:G37,"PR")</f>
        <v>0</v>
      </c>
      <c r="I37" s="18">
        <f t="shared" si="65"/>
        <v>0</v>
      </c>
      <c r="J37" s="15">
        <f t="shared" si="66"/>
        <v>0</v>
      </c>
      <c r="O37" s="15">
        <f t="shared" si="77"/>
        <v>0</v>
      </c>
      <c r="P37" s="18">
        <f t="shared" si="67"/>
        <v>0</v>
      </c>
      <c r="Q37" s="15">
        <f t="shared" si="68"/>
        <v>0</v>
      </c>
      <c r="V37" s="15">
        <f>COUNTIF(R37:U37,"PR")</f>
        <v>0</v>
      </c>
      <c r="W37" s="15">
        <f>COUNTIF(R37:U37,"AB")</f>
        <v>0</v>
      </c>
      <c r="X37" s="15">
        <f t="shared" si="99"/>
        <v>0</v>
      </c>
      <c r="Y37" s="15">
        <f>J37+Q37+X37</f>
        <v>0</v>
      </c>
      <c r="Z37" s="15">
        <f>SUM(H37,O37,V37)</f>
        <v>0</v>
      </c>
      <c r="AA37" s="78" t="e">
        <f t="shared" si="78"/>
        <v>#DIV/0!</v>
      </c>
      <c r="AB37" s="82"/>
      <c r="AG37" s="15">
        <f t="shared" si="79"/>
        <v>0</v>
      </c>
      <c r="AH37" s="15">
        <f t="shared" si="88"/>
        <v>0</v>
      </c>
      <c r="AI37" s="15">
        <f t="shared" si="89"/>
        <v>0</v>
      </c>
      <c r="AO37" s="15">
        <f t="shared" si="80"/>
        <v>0</v>
      </c>
      <c r="AP37" s="15">
        <f t="shared" si="90"/>
        <v>0</v>
      </c>
      <c r="AQ37" s="15">
        <f t="shared" si="91"/>
        <v>0</v>
      </c>
      <c r="AV37" s="15">
        <f>COUNTIF(AR37:AU37,"PR")</f>
        <v>0</v>
      </c>
      <c r="AW37" s="15">
        <f>COUNTIF(AR37:AU37,"AB")</f>
        <v>0</v>
      </c>
      <c r="AX37" s="15">
        <f t="shared" si="98"/>
        <v>0</v>
      </c>
      <c r="AY37" s="15">
        <f>AI37+AQ37+AX37</f>
        <v>0</v>
      </c>
      <c r="AZ37" s="15">
        <f>SUM(AG37,AO37,AV37)</f>
        <v>0</v>
      </c>
      <c r="BA37" s="78" t="e">
        <f t="shared" si="81"/>
        <v>#DIV/0!</v>
      </c>
      <c r="BD37" s="1"/>
      <c r="BF37" s="15">
        <f t="shared" si="82"/>
        <v>0</v>
      </c>
      <c r="BG37" s="15">
        <f t="shared" si="92"/>
        <v>0</v>
      </c>
      <c r="BH37" s="15">
        <f t="shared" si="93"/>
        <v>0</v>
      </c>
      <c r="BN37" s="15">
        <f t="shared" si="83"/>
        <v>0</v>
      </c>
      <c r="BO37" s="15">
        <f>COUNTIF(BI37:BM37,"AB")</f>
        <v>0</v>
      </c>
      <c r="BP37" s="15">
        <f t="shared" si="94"/>
        <v>0</v>
      </c>
      <c r="BU37" s="15">
        <f t="shared" si="84"/>
        <v>0</v>
      </c>
      <c r="BV37" s="15">
        <f t="shared" si="95"/>
        <v>0</v>
      </c>
      <c r="BW37" s="15">
        <f t="shared" ref="BW37:BW94" si="101">BU37+BV37</f>
        <v>0</v>
      </c>
      <c r="BX37" s="15">
        <f>BH37+BP37+BW37</f>
        <v>0</v>
      </c>
      <c r="BY37" s="15">
        <f>SUM(BF37,BN37,BU37)</f>
        <v>0</v>
      </c>
      <c r="BZ37" s="78" t="e">
        <f t="shared" ref="BZ37:BZ79" si="102">BY37/BX37*100</f>
        <v>#DIV/0!</v>
      </c>
      <c r="CA37" s="82"/>
      <c r="CG37" s="15">
        <f>COUNTIF(CB37:CF37,"PR")</f>
        <v>0</v>
      </c>
      <c r="CH37" s="15">
        <f>COUNTIF(CB37:CF37,"AB")</f>
        <v>0</v>
      </c>
      <c r="CI37" s="15">
        <f t="shared" si="96"/>
        <v>0</v>
      </c>
      <c r="CN37" s="15">
        <f>COUNTIF(CJ37:CM37,"PR")</f>
        <v>0</v>
      </c>
      <c r="CO37" s="15">
        <f>COUNTIF(CJ37:CM37,"AB")</f>
        <v>0</v>
      </c>
      <c r="CP37" s="15">
        <f t="shared" si="97"/>
        <v>0</v>
      </c>
      <c r="CU37" s="15">
        <f t="shared" si="86"/>
        <v>0</v>
      </c>
      <c r="CV37" s="15">
        <f t="shared" ref="CV37:CV99" si="103">COUNTIF(CQ37:CT37,"AB")</f>
        <v>0</v>
      </c>
      <c r="CW37" s="15">
        <f t="shared" ref="CW37:CW99" si="104">CU37+CV37</f>
        <v>0</v>
      </c>
      <c r="CX37" s="15">
        <f>CG37+CN37+CU37</f>
        <v>0</v>
      </c>
      <c r="CY37" s="15" t="e">
        <f>SUM(CE37,#REF!,CS37)</f>
        <v>#REF!</v>
      </c>
      <c r="CZ37" s="78" t="e">
        <f t="shared" ref="CZ37:CZ79" si="105">CY37/CX37*100</f>
        <v>#REF!</v>
      </c>
      <c r="DA37" s="82"/>
    </row>
    <row r="38" spans="1:105">
      <c r="A38" s="94"/>
      <c r="B38" s="14"/>
      <c r="H38" s="15">
        <f t="shared" si="100"/>
        <v>0</v>
      </c>
      <c r="I38" s="18">
        <f t="shared" si="65"/>
        <v>0</v>
      </c>
      <c r="J38" s="15">
        <f t="shared" si="66"/>
        <v>0</v>
      </c>
      <c r="O38" s="15">
        <f t="shared" si="77"/>
        <v>0</v>
      </c>
      <c r="P38" s="18">
        <f t="shared" si="67"/>
        <v>0</v>
      </c>
      <c r="Q38" s="15">
        <f t="shared" si="68"/>
        <v>0</v>
      </c>
      <c r="V38" s="15">
        <f t="shared" ref="V38:V101" si="106">COUNTIF(R38:U38,"PR")</f>
        <v>0</v>
      </c>
      <c r="W38" s="15">
        <f t="shared" ref="W38:W101" si="107">COUNTIF(R38:U38,"AB")</f>
        <v>0</v>
      </c>
      <c r="X38" s="15">
        <f t="shared" si="99"/>
        <v>0</v>
      </c>
      <c r="Y38" s="15">
        <f>J38+Q38+X38</f>
        <v>0</v>
      </c>
      <c r="Z38" s="15">
        <f>SUM(H38,O38,V38)</f>
        <v>0</v>
      </c>
      <c r="AA38" s="78" t="e">
        <f t="shared" si="78"/>
        <v>#DIV/0!</v>
      </c>
      <c r="AB38" s="82"/>
      <c r="AG38" s="15">
        <f t="shared" si="79"/>
        <v>0</v>
      </c>
      <c r="AH38" s="15">
        <f t="shared" si="88"/>
        <v>0</v>
      </c>
      <c r="AI38" s="15">
        <f t="shared" si="89"/>
        <v>0</v>
      </c>
      <c r="AO38" s="15">
        <f t="shared" si="80"/>
        <v>0</v>
      </c>
      <c r="AP38" s="15">
        <f t="shared" si="90"/>
        <v>0</v>
      </c>
      <c r="AQ38" s="15">
        <f t="shared" si="91"/>
        <v>0</v>
      </c>
      <c r="AV38" s="15">
        <f>COUNTIF(AR38:AU38,"PR")</f>
        <v>0</v>
      </c>
      <c r="AW38" s="15">
        <f t="shared" ref="AW38:AW101" si="108">COUNTIF(AR38:AU38,"AB")</f>
        <v>0</v>
      </c>
      <c r="AX38" s="15">
        <f t="shared" si="98"/>
        <v>0</v>
      </c>
      <c r="AY38" s="15">
        <f>AI38+AQ38+AX38</f>
        <v>0</v>
      </c>
      <c r="AZ38" s="15">
        <f>SUM(AG38,AO38,AV38)</f>
        <v>0</v>
      </c>
      <c r="BA38" s="78" t="e">
        <f t="shared" si="81"/>
        <v>#DIV/0!</v>
      </c>
      <c r="BD38" s="1"/>
      <c r="BF38" s="15">
        <f t="shared" si="82"/>
        <v>0</v>
      </c>
      <c r="BG38" s="15">
        <f t="shared" si="92"/>
        <v>0</v>
      </c>
      <c r="BH38" s="15">
        <f t="shared" si="93"/>
        <v>0</v>
      </c>
      <c r="BN38" s="15">
        <f t="shared" si="83"/>
        <v>0</v>
      </c>
      <c r="BO38" s="15">
        <f t="shared" ref="BO38:BO101" si="109">COUNTIF(BI38:BM38,"AB")</f>
        <v>0</v>
      </c>
      <c r="BP38" s="15">
        <f t="shared" si="94"/>
        <v>0</v>
      </c>
      <c r="BU38" s="15">
        <f t="shared" si="84"/>
        <v>0</v>
      </c>
      <c r="BV38" s="15">
        <f t="shared" si="95"/>
        <v>0</v>
      </c>
      <c r="BW38" s="15">
        <f t="shared" si="101"/>
        <v>0</v>
      </c>
      <c r="BX38" s="15">
        <f t="shared" ref="BX38:BX99" si="110">BH38+BP38+BW38</f>
        <v>0</v>
      </c>
      <c r="BY38" s="15">
        <f t="shared" ref="BY38:BY99" si="111">SUM(BF38,BN38,BU38)</f>
        <v>0</v>
      </c>
      <c r="BZ38" s="78" t="e">
        <f t="shared" si="102"/>
        <v>#DIV/0!</v>
      </c>
      <c r="CA38" s="82"/>
      <c r="CG38" s="15">
        <f>COUNTIF(CB38:CF38,"PR")</f>
        <v>0</v>
      </c>
      <c r="CH38" s="15">
        <f>COUNTIF(CB38:CF38,"AB")</f>
        <v>0</v>
      </c>
      <c r="CI38" s="15">
        <f t="shared" si="96"/>
        <v>0</v>
      </c>
      <c r="CN38" s="15">
        <f>COUNTIF(CJ38:CM38,"PR")</f>
        <v>0</v>
      </c>
      <c r="CO38" s="15">
        <f>COUNTIF(CJ38:CM38,"AB")</f>
        <v>0</v>
      </c>
      <c r="CP38" s="15">
        <f t="shared" si="97"/>
        <v>0</v>
      </c>
      <c r="CU38" s="15">
        <f t="shared" si="86"/>
        <v>0</v>
      </c>
      <c r="CV38" s="15">
        <f t="shared" si="103"/>
        <v>0</v>
      </c>
      <c r="CW38" s="15">
        <f t="shared" si="104"/>
        <v>0</v>
      </c>
      <c r="CX38" s="15">
        <f>CG38+CN38+CU38</f>
        <v>0</v>
      </c>
      <c r="CY38" s="15" t="e">
        <f>SUM(CE38,#REF!,CS38)</f>
        <v>#REF!</v>
      </c>
      <c r="CZ38" s="78" t="e">
        <f t="shared" si="105"/>
        <v>#REF!</v>
      </c>
      <c r="DA38" s="82"/>
    </row>
    <row r="39" spans="1:105">
      <c r="A39" s="94"/>
      <c r="B39" s="14"/>
      <c r="H39" s="15">
        <f t="shared" si="100"/>
        <v>0</v>
      </c>
      <c r="I39" s="18">
        <f t="shared" si="65"/>
        <v>0</v>
      </c>
      <c r="J39" s="15">
        <f t="shared" si="66"/>
        <v>0</v>
      </c>
      <c r="O39" s="15">
        <f t="shared" si="77"/>
        <v>0</v>
      </c>
      <c r="P39" s="18">
        <f t="shared" si="67"/>
        <v>0</v>
      </c>
      <c r="Q39" s="15">
        <f t="shared" si="68"/>
        <v>0</v>
      </c>
      <c r="V39" s="15">
        <f t="shared" si="106"/>
        <v>0</v>
      </c>
      <c r="W39" s="15">
        <f t="shared" si="107"/>
        <v>0</v>
      </c>
      <c r="X39" s="15">
        <f t="shared" si="99"/>
        <v>0</v>
      </c>
      <c r="Y39" s="15">
        <f>J39+Q39+X39</f>
        <v>0</v>
      </c>
      <c r="Z39" s="15">
        <f>SUM(H39,O39,V39)</f>
        <v>0</v>
      </c>
      <c r="AA39" s="78" t="e">
        <f t="shared" si="78"/>
        <v>#DIV/0!</v>
      </c>
      <c r="AB39" s="82"/>
      <c r="AG39" s="15">
        <f t="shared" si="79"/>
        <v>0</v>
      </c>
      <c r="AH39" s="15">
        <f t="shared" si="88"/>
        <v>0</v>
      </c>
      <c r="AI39" s="15">
        <f t="shared" si="89"/>
        <v>0</v>
      </c>
      <c r="AO39" s="15">
        <f t="shared" si="80"/>
        <v>0</v>
      </c>
      <c r="AP39" s="15">
        <f t="shared" si="90"/>
        <v>0</v>
      </c>
      <c r="AQ39" s="15">
        <f t="shared" si="91"/>
        <v>0</v>
      </c>
      <c r="AV39" s="15">
        <f>COUNTIF(AR39:AU39,"PR")</f>
        <v>0</v>
      </c>
      <c r="AW39" s="15">
        <f t="shared" si="108"/>
        <v>0</v>
      </c>
      <c r="AX39" s="15">
        <f t="shared" si="98"/>
        <v>0</v>
      </c>
      <c r="AY39" s="15">
        <f>AI39+AQ39+AX39</f>
        <v>0</v>
      </c>
      <c r="AZ39" s="15">
        <f>SUM(AG39,AO39,AV39)</f>
        <v>0</v>
      </c>
      <c r="BA39" s="78" t="e">
        <f t="shared" si="81"/>
        <v>#DIV/0!</v>
      </c>
      <c r="BD39" s="1"/>
      <c r="BF39" s="15">
        <f t="shared" si="82"/>
        <v>0</v>
      </c>
      <c r="BG39" s="15">
        <f t="shared" si="92"/>
        <v>0</v>
      </c>
      <c r="BH39" s="15">
        <f t="shared" si="93"/>
        <v>0</v>
      </c>
      <c r="BN39" s="15">
        <f t="shared" si="83"/>
        <v>0</v>
      </c>
      <c r="BO39" s="15">
        <f t="shared" si="109"/>
        <v>0</v>
      </c>
      <c r="BP39" s="15">
        <f t="shared" si="94"/>
        <v>0</v>
      </c>
      <c r="BU39" s="15">
        <f t="shared" si="84"/>
        <v>0</v>
      </c>
      <c r="BV39" s="15">
        <f t="shared" si="95"/>
        <v>0</v>
      </c>
      <c r="BW39" s="15">
        <f t="shared" si="101"/>
        <v>0</v>
      </c>
      <c r="BX39" s="15">
        <f t="shared" si="110"/>
        <v>0</v>
      </c>
      <c r="BY39" s="15">
        <f t="shared" si="111"/>
        <v>0</v>
      </c>
      <c r="BZ39" s="78" t="e">
        <f t="shared" si="102"/>
        <v>#DIV/0!</v>
      </c>
      <c r="CA39" s="82"/>
      <c r="CG39" s="15">
        <f>COUNTIF(CB39:CF39,"PR")</f>
        <v>0</v>
      </c>
      <c r="CH39" s="15">
        <f>COUNTIF(CB39:CF39,"AB")</f>
        <v>0</v>
      </c>
      <c r="CI39" s="15">
        <f t="shared" si="96"/>
        <v>0</v>
      </c>
      <c r="CN39" s="15">
        <f>COUNTIF(CJ39:CM39,"PR")</f>
        <v>0</v>
      </c>
      <c r="CO39" s="15">
        <f>COUNTIF(CJ39:CM39,"AB")</f>
        <v>0</v>
      </c>
      <c r="CP39" s="15">
        <f t="shared" si="97"/>
        <v>0</v>
      </c>
      <c r="CU39" s="15">
        <f t="shared" si="86"/>
        <v>0</v>
      </c>
      <c r="CV39" s="15">
        <f t="shared" si="103"/>
        <v>0</v>
      </c>
      <c r="CW39" s="15">
        <f t="shared" si="104"/>
        <v>0</v>
      </c>
      <c r="CX39" s="15">
        <f>CG39+CN39+CU39</f>
        <v>0</v>
      </c>
      <c r="CY39" s="15" t="e">
        <f>SUM(CE39,#REF!,CS39)</f>
        <v>#REF!</v>
      </c>
      <c r="CZ39" s="78" t="e">
        <f t="shared" si="105"/>
        <v>#REF!</v>
      </c>
      <c r="DA39" s="82"/>
    </row>
    <row r="40" spans="1:105">
      <c r="A40" s="94"/>
      <c r="B40" s="14"/>
      <c r="H40" s="15">
        <f t="shared" si="100"/>
        <v>0</v>
      </c>
      <c r="I40" s="18">
        <f t="shared" si="65"/>
        <v>0</v>
      </c>
      <c r="J40" s="15">
        <f t="shared" si="66"/>
        <v>0</v>
      </c>
      <c r="O40" s="15">
        <f t="shared" si="77"/>
        <v>0</v>
      </c>
      <c r="P40" s="18">
        <f t="shared" si="67"/>
        <v>0</v>
      </c>
      <c r="Q40" s="15">
        <f t="shared" si="68"/>
        <v>0</v>
      </c>
      <c r="V40" s="15">
        <f t="shared" si="106"/>
        <v>0</v>
      </c>
      <c r="W40" s="15">
        <f t="shared" si="107"/>
        <v>0</v>
      </c>
      <c r="X40" s="15">
        <f t="shared" si="99"/>
        <v>0</v>
      </c>
      <c r="Y40" s="15">
        <f>J40+Q40+X40</f>
        <v>0</v>
      </c>
      <c r="Z40" s="15">
        <f>SUM(H40,O40,V40)</f>
        <v>0</v>
      </c>
      <c r="AA40" s="78" t="e">
        <f t="shared" si="78"/>
        <v>#DIV/0!</v>
      </c>
      <c r="AB40" s="82"/>
      <c r="AG40" s="15">
        <f t="shared" si="79"/>
        <v>0</v>
      </c>
      <c r="AH40" s="15">
        <f t="shared" si="88"/>
        <v>0</v>
      </c>
      <c r="AI40" s="15">
        <f t="shared" si="89"/>
        <v>0</v>
      </c>
      <c r="AO40" s="15">
        <f t="shared" si="80"/>
        <v>0</v>
      </c>
      <c r="AP40" s="15">
        <f t="shared" si="90"/>
        <v>0</v>
      </c>
      <c r="AQ40" s="15">
        <f t="shared" si="91"/>
        <v>0</v>
      </c>
      <c r="AV40" s="15">
        <f>COUNTIF(AR40:AU40,"PR")</f>
        <v>0</v>
      </c>
      <c r="AW40" s="15">
        <f t="shared" si="108"/>
        <v>0</v>
      </c>
      <c r="AX40" s="15">
        <f t="shared" si="98"/>
        <v>0</v>
      </c>
      <c r="AY40" s="15">
        <f>AI40+AQ40+AX40</f>
        <v>0</v>
      </c>
      <c r="AZ40" s="15">
        <f>SUM(AG40,AO40,AV40)</f>
        <v>0</v>
      </c>
      <c r="BA40" s="78" t="e">
        <f t="shared" si="81"/>
        <v>#DIV/0!</v>
      </c>
      <c r="BD40" s="1"/>
      <c r="BF40" s="15">
        <f t="shared" si="82"/>
        <v>0</v>
      </c>
      <c r="BG40" s="15">
        <f t="shared" si="92"/>
        <v>0</v>
      </c>
      <c r="BH40" s="15">
        <f t="shared" si="93"/>
        <v>0</v>
      </c>
      <c r="BN40" s="15">
        <f t="shared" si="83"/>
        <v>0</v>
      </c>
      <c r="BO40" s="15">
        <f t="shared" si="109"/>
        <v>0</v>
      </c>
      <c r="BP40" s="15">
        <f t="shared" si="94"/>
        <v>0</v>
      </c>
      <c r="BU40" s="15">
        <f t="shared" si="84"/>
        <v>0</v>
      </c>
      <c r="BV40" s="15">
        <f t="shared" si="95"/>
        <v>0</v>
      </c>
      <c r="BW40" s="15">
        <f t="shared" si="101"/>
        <v>0</v>
      </c>
      <c r="BX40" s="15">
        <f t="shared" si="110"/>
        <v>0</v>
      </c>
      <c r="BY40" s="15">
        <f t="shared" si="111"/>
        <v>0</v>
      </c>
      <c r="BZ40" s="78" t="e">
        <f t="shared" si="102"/>
        <v>#DIV/0!</v>
      </c>
      <c r="CA40" s="82"/>
      <c r="CG40" s="15">
        <f>COUNTIF(CB40:CF40,"PR")</f>
        <v>0</v>
      </c>
      <c r="CH40" s="15">
        <f>COUNTIF(CB40:CF40,"AB")</f>
        <v>0</v>
      </c>
      <c r="CI40" s="15">
        <f t="shared" si="96"/>
        <v>0</v>
      </c>
      <c r="CN40" s="15">
        <f>COUNTIF(CJ40:CM40,"PR")</f>
        <v>0</v>
      </c>
      <c r="CO40" s="15">
        <f>COUNTIF(CJ40:CM40,"AB")</f>
        <v>0</v>
      </c>
      <c r="CP40" s="15">
        <f t="shared" si="97"/>
        <v>0</v>
      </c>
      <c r="CU40" s="15">
        <f t="shared" si="86"/>
        <v>0</v>
      </c>
      <c r="CV40" s="15">
        <f t="shared" si="103"/>
        <v>0</v>
      </c>
      <c r="CW40" s="15">
        <f t="shared" si="104"/>
        <v>0</v>
      </c>
      <c r="CX40" s="15">
        <f>CG40+CN40+CU40</f>
        <v>0</v>
      </c>
      <c r="CY40" s="15" t="e">
        <f>SUM(CE40,#REF!,CS40)</f>
        <v>#REF!</v>
      </c>
      <c r="CZ40" s="78" t="e">
        <f t="shared" si="105"/>
        <v>#REF!</v>
      </c>
      <c r="DA40" s="82"/>
    </row>
    <row r="41" spans="1:105">
      <c r="A41" s="94"/>
      <c r="B41" s="14"/>
      <c r="H41" s="15">
        <f t="shared" si="100"/>
        <v>0</v>
      </c>
      <c r="I41" s="18">
        <f t="shared" si="65"/>
        <v>0</v>
      </c>
      <c r="J41" s="15">
        <f t="shared" si="66"/>
        <v>0</v>
      </c>
      <c r="O41" s="15">
        <f t="shared" si="77"/>
        <v>0</v>
      </c>
      <c r="P41" s="18">
        <f t="shared" si="67"/>
        <v>0</v>
      </c>
      <c r="Q41" s="15">
        <f t="shared" si="68"/>
        <v>0</v>
      </c>
      <c r="V41" s="15">
        <f t="shared" si="106"/>
        <v>0</v>
      </c>
      <c r="W41" s="15">
        <f t="shared" si="107"/>
        <v>0</v>
      </c>
      <c r="X41" s="15">
        <f t="shared" si="99"/>
        <v>0</v>
      </c>
      <c r="Y41" s="15">
        <f>J41+Q41+X41</f>
        <v>0</v>
      </c>
      <c r="Z41" s="15">
        <f>SUM(H41,O41,V41)</f>
        <v>0</v>
      </c>
      <c r="AA41" s="78" t="e">
        <f t="shared" si="78"/>
        <v>#DIV/0!</v>
      </c>
      <c r="AB41" s="82"/>
      <c r="AG41" s="15">
        <f t="shared" si="79"/>
        <v>0</v>
      </c>
      <c r="AH41" s="15">
        <f t="shared" si="88"/>
        <v>0</v>
      </c>
      <c r="AI41" s="15">
        <f t="shared" si="89"/>
        <v>0</v>
      </c>
      <c r="AO41" s="15">
        <f t="shared" si="80"/>
        <v>0</v>
      </c>
      <c r="AP41" s="15">
        <f t="shared" si="90"/>
        <v>0</v>
      </c>
      <c r="AQ41" s="15">
        <f t="shared" si="91"/>
        <v>0</v>
      </c>
      <c r="AV41" s="15">
        <f>COUNTIF(AR41:AU41,"PR")</f>
        <v>0</v>
      </c>
      <c r="AW41" s="15">
        <f t="shared" si="108"/>
        <v>0</v>
      </c>
      <c r="AX41" s="15">
        <f t="shared" si="98"/>
        <v>0</v>
      </c>
      <c r="AY41" s="15">
        <f>AI41+AQ41+AX41</f>
        <v>0</v>
      </c>
      <c r="AZ41" s="15">
        <f>SUM(AG41,AO41,AV41)</f>
        <v>0</v>
      </c>
      <c r="BA41" s="78" t="e">
        <f t="shared" si="81"/>
        <v>#DIV/0!</v>
      </c>
      <c r="BD41" s="1"/>
      <c r="BF41" s="15">
        <f t="shared" si="82"/>
        <v>0</v>
      </c>
      <c r="BG41" s="15">
        <f t="shared" si="92"/>
        <v>0</v>
      </c>
      <c r="BH41" s="15">
        <f t="shared" si="93"/>
        <v>0</v>
      </c>
      <c r="BN41" s="15">
        <f t="shared" si="83"/>
        <v>0</v>
      </c>
      <c r="BO41" s="15">
        <f t="shared" si="109"/>
        <v>0</v>
      </c>
      <c r="BP41" s="15">
        <f t="shared" si="94"/>
        <v>0</v>
      </c>
      <c r="BU41" s="15">
        <f t="shared" si="84"/>
        <v>0</v>
      </c>
      <c r="BV41" s="15">
        <f t="shared" si="95"/>
        <v>0</v>
      </c>
      <c r="BW41" s="15">
        <f t="shared" si="101"/>
        <v>0</v>
      </c>
      <c r="BX41" s="15">
        <f t="shared" si="110"/>
        <v>0</v>
      </c>
      <c r="BY41" s="15">
        <f t="shared" si="111"/>
        <v>0</v>
      </c>
      <c r="BZ41" s="78" t="e">
        <f t="shared" si="102"/>
        <v>#DIV/0!</v>
      </c>
      <c r="CA41" s="82"/>
      <c r="CG41" s="15">
        <f>COUNTIF(CB41:CF41,"PR")</f>
        <v>0</v>
      </c>
      <c r="CH41" s="15">
        <f>COUNTIF(CB41:CF41,"AB")</f>
        <v>0</v>
      </c>
      <c r="CI41" s="15">
        <f t="shared" si="96"/>
        <v>0</v>
      </c>
      <c r="CN41" s="15">
        <f>COUNTIF(CJ41:CM41,"PR")</f>
        <v>0</v>
      </c>
      <c r="CO41" s="15">
        <f>COUNTIF(CJ41:CM41,"AB")</f>
        <v>0</v>
      </c>
      <c r="CP41" s="15">
        <f t="shared" si="97"/>
        <v>0</v>
      </c>
      <c r="CU41" s="15">
        <f t="shared" si="86"/>
        <v>0</v>
      </c>
      <c r="CV41" s="15">
        <f t="shared" si="103"/>
        <v>0</v>
      </c>
      <c r="CW41" s="15">
        <f t="shared" si="104"/>
        <v>0</v>
      </c>
      <c r="CX41" s="15">
        <f>CG41+CN41+CU41</f>
        <v>0</v>
      </c>
      <c r="CY41" s="15" t="e">
        <f>SUM(CE41,#REF!,CS41)</f>
        <v>#REF!</v>
      </c>
      <c r="CZ41" s="78" t="e">
        <f t="shared" si="105"/>
        <v>#REF!</v>
      </c>
      <c r="DA41" s="82"/>
    </row>
    <row r="42" spans="1:105">
      <c r="A42" s="94"/>
      <c r="B42" s="14"/>
      <c r="H42" s="15">
        <f t="shared" si="100"/>
        <v>0</v>
      </c>
      <c r="I42" s="18">
        <f t="shared" si="65"/>
        <v>0</v>
      </c>
      <c r="J42" s="15">
        <f t="shared" si="66"/>
        <v>0</v>
      </c>
      <c r="O42" s="15">
        <f t="shared" si="77"/>
        <v>0</v>
      </c>
      <c r="P42" s="18">
        <f t="shared" si="67"/>
        <v>0</v>
      </c>
      <c r="Q42" s="15">
        <f t="shared" si="68"/>
        <v>0</v>
      </c>
      <c r="V42" s="15">
        <f t="shared" si="106"/>
        <v>0</v>
      </c>
      <c r="W42" s="15">
        <f t="shared" si="107"/>
        <v>0</v>
      </c>
      <c r="X42" s="15">
        <f t="shared" si="99"/>
        <v>0</v>
      </c>
      <c r="Y42" s="15">
        <f>J42+Q42+X42</f>
        <v>0</v>
      </c>
      <c r="Z42" s="15">
        <f>SUM(H42,O42,V42)</f>
        <v>0</v>
      </c>
      <c r="AA42" s="78" t="e">
        <f t="shared" si="78"/>
        <v>#DIV/0!</v>
      </c>
      <c r="AB42" s="82"/>
      <c r="AG42" s="15">
        <f t="shared" si="79"/>
        <v>0</v>
      </c>
      <c r="AH42" s="15">
        <f t="shared" si="88"/>
        <v>0</v>
      </c>
      <c r="AI42" s="15">
        <f t="shared" si="89"/>
        <v>0</v>
      </c>
      <c r="AO42" s="15">
        <f t="shared" si="80"/>
        <v>0</v>
      </c>
      <c r="AP42" s="15">
        <f t="shared" si="90"/>
        <v>0</v>
      </c>
      <c r="AQ42" s="15">
        <f t="shared" si="91"/>
        <v>0</v>
      </c>
      <c r="AV42" s="15">
        <f>COUNTIF(AR42:AU42,"PR")</f>
        <v>0</v>
      </c>
      <c r="AW42" s="15">
        <f t="shared" si="108"/>
        <v>0</v>
      </c>
      <c r="AX42" s="15">
        <f t="shared" si="98"/>
        <v>0</v>
      </c>
      <c r="AY42" s="15">
        <f>AI42+AQ42+AX42</f>
        <v>0</v>
      </c>
      <c r="AZ42" s="15">
        <f>SUM(AG42,AO42,AV42)</f>
        <v>0</v>
      </c>
      <c r="BA42" s="78" t="e">
        <f t="shared" si="81"/>
        <v>#DIV/0!</v>
      </c>
      <c r="BD42" s="1"/>
      <c r="BF42" s="15">
        <f t="shared" si="82"/>
        <v>0</v>
      </c>
      <c r="BG42" s="15">
        <f t="shared" si="92"/>
        <v>0</v>
      </c>
      <c r="BH42" s="15">
        <f t="shared" si="93"/>
        <v>0</v>
      </c>
      <c r="BN42" s="15">
        <f t="shared" si="83"/>
        <v>0</v>
      </c>
      <c r="BO42" s="15">
        <f t="shared" si="109"/>
        <v>0</v>
      </c>
      <c r="BP42" s="15">
        <f t="shared" si="94"/>
        <v>0</v>
      </c>
      <c r="BU42" s="15">
        <f t="shared" si="84"/>
        <v>0</v>
      </c>
      <c r="BV42" s="15">
        <f t="shared" si="95"/>
        <v>0</v>
      </c>
      <c r="BW42" s="15">
        <f t="shared" si="101"/>
        <v>0</v>
      </c>
      <c r="BX42" s="15">
        <f t="shared" si="110"/>
        <v>0</v>
      </c>
      <c r="BY42" s="15">
        <f t="shared" si="111"/>
        <v>0</v>
      </c>
      <c r="BZ42" s="78" t="e">
        <f t="shared" si="102"/>
        <v>#DIV/0!</v>
      </c>
      <c r="CA42" s="82"/>
      <c r="CG42" s="15">
        <f>COUNTIF(CB42:CF42,"PR")</f>
        <v>0</v>
      </c>
      <c r="CH42" s="15">
        <f>COUNTIF(CB42:CF42,"AB")</f>
        <v>0</v>
      </c>
      <c r="CI42" s="15">
        <f t="shared" si="96"/>
        <v>0</v>
      </c>
      <c r="CN42" s="15">
        <f>COUNTIF(CJ42:CM42,"PR")</f>
        <v>0</v>
      </c>
      <c r="CO42" s="15">
        <f>COUNTIF(CJ42:CM42,"AB")</f>
        <v>0</v>
      </c>
      <c r="CP42" s="15">
        <f t="shared" si="97"/>
        <v>0</v>
      </c>
      <c r="CU42" s="15">
        <f t="shared" si="86"/>
        <v>0</v>
      </c>
      <c r="CV42" s="15">
        <f t="shared" si="103"/>
        <v>0</v>
      </c>
      <c r="CW42" s="15">
        <f t="shared" si="104"/>
        <v>0</v>
      </c>
      <c r="CX42" s="15">
        <f>CG42+CN42+CU42</f>
        <v>0</v>
      </c>
      <c r="CY42" s="15" t="e">
        <f>SUM(CE42,#REF!,CS42)</f>
        <v>#REF!</v>
      </c>
      <c r="CZ42" s="78" t="e">
        <f t="shared" si="105"/>
        <v>#REF!</v>
      </c>
      <c r="DA42" s="82"/>
    </row>
    <row r="43" spans="1:105">
      <c r="A43" s="94"/>
      <c r="B43" s="14"/>
      <c r="H43" s="15">
        <f t="shared" si="100"/>
        <v>0</v>
      </c>
      <c r="I43" s="18">
        <f t="shared" si="65"/>
        <v>0</v>
      </c>
      <c r="J43" s="15">
        <f t="shared" si="66"/>
        <v>0</v>
      </c>
      <c r="O43" s="15">
        <f t="shared" si="77"/>
        <v>0</v>
      </c>
      <c r="P43" s="18">
        <f t="shared" si="67"/>
        <v>0</v>
      </c>
      <c r="Q43" s="15">
        <f t="shared" si="68"/>
        <v>0</v>
      </c>
      <c r="V43" s="15">
        <f t="shared" si="106"/>
        <v>0</v>
      </c>
      <c r="W43" s="15">
        <f t="shared" si="107"/>
        <v>0</v>
      </c>
      <c r="X43" s="15">
        <f t="shared" si="99"/>
        <v>0</v>
      </c>
      <c r="Y43" s="15">
        <f>J43+Q43+X43</f>
        <v>0</v>
      </c>
      <c r="Z43" s="15">
        <f>SUM(H43,O43,V43)</f>
        <v>0</v>
      </c>
      <c r="AA43" s="78" t="e">
        <f t="shared" si="78"/>
        <v>#DIV/0!</v>
      </c>
      <c r="AB43" s="82"/>
      <c r="AG43" s="15">
        <f t="shared" si="79"/>
        <v>0</v>
      </c>
      <c r="AH43" s="15">
        <f t="shared" si="88"/>
        <v>0</v>
      </c>
      <c r="AI43" s="15">
        <f t="shared" si="89"/>
        <v>0</v>
      </c>
      <c r="AO43" s="15">
        <f t="shared" si="80"/>
        <v>0</v>
      </c>
      <c r="AP43" s="15">
        <f t="shared" si="90"/>
        <v>0</v>
      </c>
      <c r="AQ43" s="15">
        <f t="shared" si="91"/>
        <v>0</v>
      </c>
      <c r="AV43" s="15">
        <f>COUNTIF(AR43:AU43,"PR")</f>
        <v>0</v>
      </c>
      <c r="AW43" s="15">
        <f t="shared" si="108"/>
        <v>0</v>
      </c>
      <c r="AX43" s="15">
        <f t="shared" si="98"/>
        <v>0</v>
      </c>
      <c r="AY43" s="15">
        <f>AI43+AQ43+AX43</f>
        <v>0</v>
      </c>
      <c r="AZ43" s="15">
        <f>SUM(AG43,AO43,AV43)</f>
        <v>0</v>
      </c>
      <c r="BA43" s="78" t="e">
        <f t="shared" si="81"/>
        <v>#DIV/0!</v>
      </c>
      <c r="BD43" s="1"/>
      <c r="BF43" s="15">
        <f t="shared" si="82"/>
        <v>0</v>
      </c>
      <c r="BG43" s="15">
        <f t="shared" si="92"/>
        <v>0</v>
      </c>
      <c r="BH43" s="15">
        <f t="shared" si="93"/>
        <v>0</v>
      </c>
      <c r="BN43" s="15">
        <f t="shared" si="83"/>
        <v>0</v>
      </c>
      <c r="BO43" s="15">
        <f t="shared" si="109"/>
        <v>0</v>
      </c>
      <c r="BP43" s="15">
        <f t="shared" si="94"/>
        <v>0</v>
      </c>
      <c r="BU43" s="15">
        <f t="shared" si="84"/>
        <v>0</v>
      </c>
      <c r="BV43" s="15">
        <f t="shared" si="95"/>
        <v>0</v>
      </c>
      <c r="BW43" s="15">
        <f t="shared" si="101"/>
        <v>0</v>
      </c>
      <c r="BX43" s="15">
        <f t="shared" si="110"/>
        <v>0</v>
      </c>
      <c r="BY43" s="15">
        <f t="shared" si="111"/>
        <v>0</v>
      </c>
      <c r="BZ43" s="78" t="e">
        <f t="shared" si="102"/>
        <v>#DIV/0!</v>
      </c>
      <c r="CA43" s="82"/>
      <c r="CG43" s="15">
        <f>COUNTIF(CB43:CF43,"PR")</f>
        <v>0</v>
      </c>
      <c r="CH43" s="15">
        <f>COUNTIF(CB43:CF43,"AB")</f>
        <v>0</v>
      </c>
      <c r="CI43" s="15">
        <f t="shared" si="96"/>
        <v>0</v>
      </c>
      <c r="CN43" s="15">
        <f>COUNTIF(CJ43:CM43,"PR")</f>
        <v>0</v>
      </c>
      <c r="CO43" s="15">
        <f>COUNTIF(CJ43:CM43,"AB")</f>
        <v>0</v>
      </c>
      <c r="CP43" s="15">
        <f t="shared" si="97"/>
        <v>0</v>
      </c>
      <c r="CU43" s="15">
        <f t="shared" si="86"/>
        <v>0</v>
      </c>
      <c r="CV43" s="15">
        <f t="shared" si="103"/>
        <v>0</v>
      </c>
      <c r="CW43" s="15">
        <f t="shared" si="104"/>
        <v>0</v>
      </c>
      <c r="CX43" s="15">
        <f>CG43+CN43+CU43</f>
        <v>0</v>
      </c>
      <c r="CY43" s="15" t="e">
        <f>SUM(CE43,#REF!,CS43)</f>
        <v>#REF!</v>
      </c>
      <c r="CZ43" s="78" t="e">
        <f t="shared" si="105"/>
        <v>#REF!</v>
      </c>
      <c r="DA43" s="82"/>
    </row>
    <row r="44" spans="1:105">
      <c r="A44" s="95"/>
      <c r="B44" s="14"/>
      <c r="H44" s="15">
        <f t="shared" si="100"/>
        <v>0</v>
      </c>
      <c r="I44" s="18">
        <f t="shared" si="65"/>
        <v>0</v>
      </c>
      <c r="J44" s="15">
        <f t="shared" si="66"/>
        <v>0</v>
      </c>
      <c r="O44" s="15">
        <f t="shared" si="77"/>
        <v>0</v>
      </c>
      <c r="P44" s="18">
        <f t="shared" si="67"/>
        <v>0</v>
      </c>
      <c r="Q44" s="15">
        <f t="shared" si="68"/>
        <v>0</v>
      </c>
      <c r="V44" s="15">
        <f t="shared" si="106"/>
        <v>0</v>
      </c>
      <c r="W44" s="15">
        <f t="shared" si="107"/>
        <v>0</v>
      </c>
      <c r="X44" s="15">
        <f t="shared" si="99"/>
        <v>0</v>
      </c>
      <c r="Y44" s="15">
        <f>J44+Q44+X44</f>
        <v>0</v>
      </c>
      <c r="Z44" s="15">
        <f>SUM(H44,O44,V44)</f>
        <v>0</v>
      </c>
      <c r="AA44" s="78" t="e">
        <f t="shared" si="78"/>
        <v>#DIV/0!</v>
      </c>
      <c r="AB44" s="83"/>
      <c r="AG44" s="15">
        <f t="shared" si="79"/>
        <v>0</v>
      </c>
      <c r="AH44" s="15">
        <f t="shared" si="88"/>
        <v>0</v>
      </c>
      <c r="AI44" s="15">
        <f t="shared" si="89"/>
        <v>0</v>
      </c>
      <c r="AO44" s="15">
        <f t="shared" si="80"/>
        <v>0</v>
      </c>
      <c r="AP44" s="15">
        <f t="shared" si="90"/>
        <v>0</v>
      </c>
      <c r="AQ44" s="15">
        <f t="shared" si="91"/>
        <v>0</v>
      </c>
      <c r="AV44" s="15">
        <f>COUNTIF(AR44:AU44,"PR")</f>
        <v>0</v>
      </c>
      <c r="AW44" s="15">
        <f t="shared" si="108"/>
        <v>0</v>
      </c>
      <c r="AX44" s="15">
        <f t="shared" si="98"/>
        <v>0</v>
      </c>
      <c r="AY44" s="15">
        <f>AI44+AQ44+AX44</f>
        <v>0</v>
      </c>
      <c r="AZ44" s="15">
        <f>SUM(AG44,AO44,AV44)</f>
        <v>0</v>
      </c>
      <c r="BA44" s="78" t="e">
        <f t="shared" si="81"/>
        <v>#DIV/0!</v>
      </c>
      <c r="BD44" s="1"/>
      <c r="BF44" s="15">
        <f t="shared" si="82"/>
        <v>0</v>
      </c>
      <c r="BG44" s="15">
        <f t="shared" si="92"/>
        <v>0</v>
      </c>
      <c r="BH44" s="15">
        <f t="shared" si="93"/>
        <v>0</v>
      </c>
      <c r="BN44" s="15">
        <f t="shared" si="83"/>
        <v>0</v>
      </c>
      <c r="BO44" s="15">
        <f t="shared" si="109"/>
        <v>0</v>
      </c>
      <c r="BP44" s="15">
        <f t="shared" si="94"/>
        <v>0</v>
      </c>
      <c r="BU44" s="15">
        <f t="shared" si="84"/>
        <v>0</v>
      </c>
      <c r="BV44" s="15">
        <f t="shared" si="95"/>
        <v>0</v>
      </c>
      <c r="BW44" s="15">
        <f t="shared" si="101"/>
        <v>0</v>
      </c>
      <c r="BX44" s="15">
        <f t="shared" si="110"/>
        <v>0</v>
      </c>
      <c r="BY44" s="15">
        <f t="shared" si="111"/>
        <v>0</v>
      </c>
      <c r="BZ44" s="78" t="e">
        <f t="shared" si="102"/>
        <v>#DIV/0!</v>
      </c>
      <c r="CA44" s="83"/>
      <c r="CG44" s="15">
        <f>COUNTIF(CB44:CF44,"PR")</f>
        <v>0</v>
      </c>
      <c r="CH44" s="15">
        <f>COUNTIF(CB44:CF44,"AB")</f>
        <v>0</v>
      </c>
      <c r="CI44" s="15">
        <f t="shared" si="96"/>
        <v>0</v>
      </c>
      <c r="CN44" s="15">
        <f>COUNTIF(CJ44:CM44,"PR")</f>
        <v>0</v>
      </c>
      <c r="CO44" s="15">
        <f>COUNTIF(CJ44:CM44,"AB")</f>
        <v>0</v>
      </c>
      <c r="CP44" s="15">
        <f t="shared" si="97"/>
        <v>0</v>
      </c>
      <c r="CU44" s="15">
        <f t="shared" si="86"/>
        <v>0</v>
      </c>
      <c r="CV44" s="15">
        <f t="shared" si="103"/>
        <v>0</v>
      </c>
      <c r="CW44" s="15">
        <f t="shared" si="104"/>
        <v>0</v>
      </c>
      <c r="CX44" s="15">
        <f>CG44+CN44+CU44</f>
        <v>0</v>
      </c>
      <c r="CY44" s="15" t="e">
        <f>SUM(CE44,#REF!,CS44)</f>
        <v>#REF!</v>
      </c>
      <c r="CZ44" s="78" t="e">
        <f t="shared" si="105"/>
        <v>#REF!</v>
      </c>
      <c r="DA44" s="83"/>
    </row>
    <row r="45" spans="1:105">
      <c r="A45" s="96"/>
      <c r="B45" s="14"/>
      <c r="H45" s="15">
        <f t="shared" si="100"/>
        <v>0</v>
      </c>
      <c r="I45" s="18">
        <f t="shared" si="65"/>
        <v>0</v>
      </c>
      <c r="J45" s="15">
        <f t="shared" si="66"/>
        <v>0</v>
      </c>
      <c r="O45" s="15">
        <f t="shared" si="77"/>
        <v>0</v>
      </c>
      <c r="P45" s="18">
        <f t="shared" si="67"/>
        <v>0</v>
      </c>
      <c r="Q45" s="15">
        <f t="shared" si="68"/>
        <v>0</v>
      </c>
      <c r="V45" s="15">
        <f t="shared" si="106"/>
        <v>0</v>
      </c>
      <c r="W45" s="15">
        <f t="shared" si="107"/>
        <v>0</v>
      </c>
      <c r="X45" s="15">
        <f t="shared" si="99"/>
        <v>0</v>
      </c>
      <c r="Y45" s="15">
        <f>J45+Q45+X45</f>
        <v>0</v>
      </c>
      <c r="Z45" s="15">
        <f>SUM(H45,O45,V45)</f>
        <v>0</v>
      </c>
      <c r="AA45" s="78" t="e">
        <f t="shared" si="78"/>
        <v>#DIV/0!</v>
      </c>
      <c r="AB45" s="78"/>
      <c r="AG45" s="15">
        <f t="shared" si="79"/>
        <v>0</v>
      </c>
      <c r="AH45" s="15">
        <f t="shared" si="88"/>
        <v>0</v>
      </c>
      <c r="AI45" s="15">
        <f t="shared" si="89"/>
        <v>0</v>
      </c>
      <c r="AO45" s="15">
        <f t="shared" si="80"/>
        <v>0</v>
      </c>
      <c r="AP45" s="15">
        <f t="shared" si="90"/>
        <v>0</v>
      </c>
      <c r="AQ45" s="15">
        <f t="shared" si="91"/>
        <v>0</v>
      </c>
      <c r="AV45" s="15">
        <f>COUNTIF(AR45:AU45,"PR")</f>
        <v>0</v>
      </c>
      <c r="AW45" s="15">
        <f t="shared" si="108"/>
        <v>0</v>
      </c>
      <c r="AX45" s="15">
        <f t="shared" si="98"/>
        <v>0</v>
      </c>
      <c r="AY45" s="15">
        <f>AI45+AQ45+AX45</f>
        <v>0</v>
      </c>
      <c r="AZ45" s="15">
        <f>SUM(AG45,AO45,AV45)</f>
        <v>0</v>
      </c>
      <c r="BA45" s="78" t="e">
        <f t="shared" si="81"/>
        <v>#DIV/0!</v>
      </c>
      <c r="BD45" s="1"/>
      <c r="BF45" s="15">
        <f t="shared" si="82"/>
        <v>0</v>
      </c>
      <c r="BG45" s="15">
        <f t="shared" si="92"/>
        <v>0</v>
      </c>
      <c r="BH45" s="15">
        <f t="shared" si="93"/>
        <v>0</v>
      </c>
      <c r="BN45" s="15">
        <f t="shared" si="83"/>
        <v>0</v>
      </c>
      <c r="BO45" s="15">
        <f t="shared" si="109"/>
        <v>0</v>
      </c>
      <c r="BP45" s="15">
        <f t="shared" si="94"/>
        <v>0</v>
      </c>
      <c r="BU45" s="15">
        <f t="shared" si="84"/>
        <v>0</v>
      </c>
      <c r="BV45" s="15">
        <f t="shared" si="95"/>
        <v>0</v>
      </c>
      <c r="BW45" s="15">
        <f t="shared" si="101"/>
        <v>0</v>
      </c>
      <c r="BX45" s="15">
        <f t="shared" si="110"/>
        <v>0</v>
      </c>
      <c r="BY45" s="15">
        <f t="shared" si="111"/>
        <v>0</v>
      </c>
      <c r="BZ45" s="78" t="e">
        <f t="shared" si="102"/>
        <v>#DIV/0!</v>
      </c>
      <c r="CA45" s="78"/>
      <c r="CG45" s="15">
        <f>COUNTIF(CB45:CF45,"PR")</f>
        <v>0</v>
      </c>
      <c r="CH45" s="15">
        <f>COUNTIF(CB45:CF45,"AB")</f>
        <v>0</v>
      </c>
      <c r="CI45" s="15">
        <f t="shared" si="96"/>
        <v>0</v>
      </c>
      <c r="CN45" s="15">
        <f>COUNTIF(CJ45:CM45,"PR")</f>
        <v>0</v>
      </c>
      <c r="CO45" s="15">
        <f>COUNTIF(CJ45:CM45,"AB")</f>
        <v>0</v>
      </c>
      <c r="CP45" s="15">
        <f t="shared" si="97"/>
        <v>0</v>
      </c>
      <c r="CU45" s="15">
        <f t="shared" si="86"/>
        <v>0</v>
      </c>
      <c r="CV45" s="15">
        <f t="shared" si="103"/>
        <v>0</v>
      </c>
      <c r="CW45" s="15">
        <f t="shared" si="104"/>
        <v>0</v>
      </c>
      <c r="CX45" s="15">
        <f>CG45+CN45+CU45</f>
        <v>0</v>
      </c>
      <c r="CY45" s="15" t="e">
        <f>SUM(CE45,#REF!,CS45)</f>
        <v>#REF!</v>
      </c>
      <c r="CZ45" s="78" t="e">
        <f t="shared" si="105"/>
        <v>#REF!</v>
      </c>
      <c r="DA45" s="78"/>
    </row>
    <row r="46" spans="1:105">
      <c r="A46" s="96"/>
      <c r="B46" s="14"/>
      <c r="H46" s="15">
        <f t="shared" si="100"/>
        <v>0</v>
      </c>
      <c r="I46" s="18">
        <f t="shared" si="65"/>
        <v>0</v>
      </c>
      <c r="J46" s="15">
        <f t="shared" si="66"/>
        <v>0</v>
      </c>
      <c r="O46" s="15">
        <f t="shared" si="77"/>
        <v>0</v>
      </c>
      <c r="P46" s="18">
        <f t="shared" si="67"/>
        <v>0</v>
      </c>
      <c r="Q46" s="15">
        <f t="shared" si="68"/>
        <v>0</v>
      </c>
      <c r="V46" s="15">
        <f t="shared" si="106"/>
        <v>0</v>
      </c>
      <c r="W46" s="15">
        <f t="shared" si="107"/>
        <v>0</v>
      </c>
      <c r="X46" s="15">
        <f t="shared" si="99"/>
        <v>0</v>
      </c>
      <c r="Y46" s="15">
        <f>J46+Q46+X46</f>
        <v>0</v>
      </c>
      <c r="Z46" s="15">
        <f>SUM(H46,O46,V46)</f>
        <v>0</v>
      </c>
      <c r="AA46" s="78" t="e">
        <f t="shared" si="78"/>
        <v>#DIV/0!</v>
      </c>
      <c r="AB46" s="78"/>
      <c r="AG46" s="15">
        <f t="shared" si="79"/>
        <v>0</v>
      </c>
      <c r="AH46" s="15">
        <f t="shared" si="88"/>
        <v>0</v>
      </c>
      <c r="AI46" s="15">
        <f t="shared" si="89"/>
        <v>0</v>
      </c>
      <c r="AO46" s="15">
        <f t="shared" si="80"/>
        <v>0</v>
      </c>
      <c r="AP46" s="15">
        <f t="shared" si="90"/>
        <v>0</v>
      </c>
      <c r="AQ46" s="15">
        <f t="shared" si="91"/>
        <v>0</v>
      </c>
      <c r="AV46" s="15">
        <f>COUNTIF(AR46:AU46,"PR")</f>
        <v>0</v>
      </c>
      <c r="AW46" s="15">
        <f t="shared" si="108"/>
        <v>0</v>
      </c>
      <c r="AX46" s="15">
        <f t="shared" si="98"/>
        <v>0</v>
      </c>
      <c r="AY46" s="15">
        <f>AI46+AQ46+AX46</f>
        <v>0</v>
      </c>
      <c r="AZ46" s="15">
        <f>SUM(AG46,AO46,AV46)</f>
        <v>0</v>
      </c>
      <c r="BA46" s="78" t="e">
        <f t="shared" si="81"/>
        <v>#DIV/0!</v>
      </c>
      <c r="BD46" s="1"/>
      <c r="BF46" s="15">
        <f t="shared" si="82"/>
        <v>0</v>
      </c>
      <c r="BG46" s="15">
        <f t="shared" si="92"/>
        <v>0</v>
      </c>
      <c r="BH46" s="15">
        <f t="shared" si="93"/>
        <v>0</v>
      </c>
      <c r="BN46" s="15">
        <f t="shared" si="83"/>
        <v>0</v>
      </c>
      <c r="BO46" s="15">
        <f t="shared" si="109"/>
        <v>0</v>
      </c>
      <c r="BP46" s="15">
        <f t="shared" si="94"/>
        <v>0</v>
      </c>
      <c r="BU46" s="15">
        <f t="shared" si="84"/>
        <v>0</v>
      </c>
      <c r="BV46" s="15">
        <f t="shared" si="95"/>
        <v>0</v>
      </c>
      <c r="BW46" s="15">
        <f t="shared" si="101"/>
        <v>0</v>
      </c>
      <c r="BX46" s="15">
        <f t="shared" si="110"/>
        <v>0</v>
      </c>
      <c r="BY46" s="15">
        <f t="shared" si="111"/>
        <v>0</v>
      </c>
      <c r="BZ46" s="78" t="e">
        <f t="shared" si="102"/>
        <v>#DIV/0!</v>
      </c>
      <c r="CA46" s="78"/>
      <c r="CG46" s="15">
        <f>COUNTIF(CB46:CF46,"PR")</f>
        <v>0</v>
      </c>
      <c r="CH46" s="15">
        <f>COUNTIF(CB46:CF46,"AB")</f>
        <v>0</v>
      </c>
      <c r="CI46" s="15">
        <f t="shared" si="96"/>
        <v>0</v>
      </c>
      <c r="CN46" s="15">
        <f>COUNTIF(CJ46:CM46,"PR")</f>
        <v>0</v>
      </c>
      <c r="CO46" s="15">
        <f>COUNTIF(CJ46:CM46,"AB")</f>
        <v>0</v>
      </c>
      <c r="CP46" s="15">
        <f t="shared" si="97"/>
        <v>0</v>
      </c>
      <c r="CU46" s="15">
        <f t="shared" si="86"/>
        <v>0</v>
      </c>
      <c r="CV46" s="15">
        <f t="shared" si="103"/>
        <v>0</v>
      </c>
      <c r="CW46" s="15">
        <f t="shared" si="104"/>
        <v>0</v>
      </c>
      <c r="CX46" s="15">
        <f>CG46+CN46+CU46</f>
        <v>0</v>
      </c>
      <c r="CY46" s="15" t="e">
        <f>SUM(CE46,#REF!,CS46)</f>
        <v>#REF!</v>
      </c>
      <c r="CZ46" s="78" t="e">
        <f t="shared" si="105"/>
        <v>#REF!</v>
      </c>
      <c r="DA46" s="78"/>
    </row>
    <row r="47" spans="1:105">
      <c r="A47" s="91"/>
      <c r="B47" s="14"/>
      <c r="H47" s="15">
        <f t="shared" si="100"/>
        <v>0</v>
      </c>
      <c r="I47" s="18">
        <f t="shared" si="65"/>
        <v>0</v>
      </c>
      <c r="J47" s="15">
        <f t="shared" si="66"/>
        <v>0</v>
      </c>
      <c r="O47" s="15">
        <f t="shared" si="77"/>
        <v>0</v>
      </c>
      <c r="P47" s="18">
        <f t="shared" si="67"/>
        <v>0</v>
      </c>
      <c r="Q47" s="15">
        <f t="shared" si="68"/>
        <v>0</v>
      </c>
      <c r="V47" s="15">
        <f t="shared" si="106"/>
        <v>0</v>
      </c>
      <c r="W47" s="15">
        <f t="shared" si="107"/>
        <v>0</v>
      </c>
      <c r="X47" s="15">
        <f t="shared" si="99"/>
        <v>0</v>
      </c>
      <c r="Y47" s="15">
        <f>J47+Q47+X47</f>
        <v>0</v>
      </c>
      <c r="Z47" s="15">
        <f>SUM(H47,O47,V47)</f>
        <v>0</v>
      </c>
      <c r="AA47" s="78" t="e">
        <f t="shared" si="78"/>
        <v>#DIV/0!</v>
      </c>
      <c r="AB47" s="78"/>
      <c r="AG47" s="15">
        <f t="shared" si="79"/>
        <v>0</v>
      </c>
      <c r="AH47" s="15">
        <f t="shared" si="88"/>
        <v>0</v>
      </c>
      <c r="AI47" s="15">
        <f t="shared" si="89"/>
        <v>0</v>
      </c>
      <c r="AO47" s="15">
        <f t="shared" si="80"/>
        <v>0</v>
      </c>
      <c r="AP47" s="15">
        <f t="shared" si="90"/>
        <v>0</v>
      </c>
      <c r="AQ47" s="15">
        <f t="shared" si="91"/>
        <v>0</v>
      </c>
      <c r="AV47" s="15">
        <f>COUNTIF(AR47:AU47,"PR")</f>
        <v>0</v>
      </c>
      <c r="AW47" s="15">
        <f t="shared" si="108"/>
        <v>0</v>
      </c>
      <c r="AX47" s="15">
        <f t="shared" si="98"/>
        <v>0</v>
      </c>
      <c r="AY47" s="15">
        <f>AI47+AQ47+AX47</f>
        <v>0</v>
      </c>
      <c r="AZ47" s="15">
        <f>SUM(AG47,AO47,AV47)</f>
        <v>0</v>
      </c>
      <c r="BA47" s="78" t="e">
        <f t="shared" si="81"/>
        <v>#DIV/0!</v>
      </c>
      <c r="BD47" s="1"/>
      <c r="BF47" s="15">
        <f t="shared" si="82"/>
        <v>0</v>
      </c>
      <c r="BG47" s="15">
        <f t="shared" si="92"/>
        <v>0</v>
      </c>
      <c r="BH47" s="15">
        <f t="shared" si="93"/>
        <v>0</v>
      </c>
      <c r="BN47" s="15">
        <f t="shared" si="83"/>
        <v>0</v>
      </c>
      <c r="BO47" s="15">
        <f t="shared" si="109"/>
        <v>0</v>
      </c>
      <c r="BP47" s="15">
        <f t="shared" si="94"/>
        <v>0</v>
      </c>
      <c r="BU47" s="15">
        <f t="shared" si="84"/>
        <v>0</v>
      </c>
      <c r="BV47" s="15">
        <f t="shared" si="95"/>
        <v>0</v>
      </c>
      <c r="BW47" s="15">
        <f t="shared" si="101"/>
        <v>0</v>
      </c>
      <c r="BX47" s="15">
        <f t="shared" si="110"/>
        <v>0</v>
      </c>
      <c r="BY47" s="15">
        <f t="shared" si="111"/>
        <v>0</v>
      </c>
      <c r="BZ47" s="78" t="e">
        <f t="shared" si="102"/>
        <v>#DIV/0!</v>
      </c>
      <c r="CA47" s="78"/>
      <c r="CG47" s="15">
        <f>COUNTIF(CB47:CF47,"PR")</f>
        <v>0</v>
      </c>
      <c r="CH47" s="15">
        <f>COUNTIF(CB47:CF47,"AB")</f>
        <v>0</v>
      </c>
      <c r="CI47" s="15">
        <f t="shared" si="96"/>
        <v>0</v>
      </c>
      <c r="CN47" s="15">
        <f>COUNTIF(CJ47:CM47,"PR")</f>
        <v>0</v>
      </c>
      <c r="CO47" s="15">
        <f>COUNTIF(CJ47:CM47,"AB")</f>
        <v>0</v>
      </c>
      <c r="CP47" s="15">
        <f t="shared" si="97"/>
        <v>0</v>
      </c>
      <c r="CU47" s="15">
        <f t="shared" si="86"/>
        <v>0</v>
      </c>
      <c r="CV47" s="15">
        <f t="shared" si="103"/>
        <v>0</v>
      </c>
      <c r="CW47" s="15">
        <f t="shared" si="104"/>
        <v>0</v>
      </c>
      <c r="CX47" s="15">
        <f>CG47+CN47+CU47</f>
        <v>0</v>
      </c>
      <c r="CY47" s="15" t="e">
        <f>SUM(CE47,#REF!,CS47)</f>
        <v>#REF!</v>
      </c>
      <c r="CZ47" s="78" t="e">
        <f t="shared" si="105"/>
        <v>#REF!</v>
      </c>
      <c r="DA47" s="78"/>
    </row>
    <row r="48" spans="1:105">
      <c r="A48" s="91"/>
      <c r="B48" s="14"/>
      <c r="H48" s="15">
        <f t="shared" si="100"/>
        <v>0</v>
      </c>
      <c r="I48" s="18">
        <f t="shared" ref="I48:I111" si="112">COUNTIF(C48:G48,"AB")</f>
        <v>0</v>
      </c>
      <c r="J48" s="15">
        <f t="shared" ref="J48:J111" si="113">H48+I48</f>
        <v>0</v>
      </c>
      <c r="O48" s="15">
        <f t="shared" si="77"/>
        <v>0</v>
      </c>
      <c r="P48" s="18">
        <f t="shared" si="67"/>
        <v>0</v>
      </c>
      <c r="Q48" s="15">
        <f t="shared" si="68"/>
        <v>0</v>
      </c>
      <c r="V48" s="15">
        <f t="shared" si="106"/>
        <v>0</v>
      </c>
      <c r="W48" s="15">
        <f t="shared" si="107"/>
        <v>0</v>
      </c>
      <c r="X48" s="15">
        <f t="shared" si="99"/>
        <v>0</v>
      </c>
      <c r="Y48" s="15">
        <f>J48+Q48+X48</f>
        <v>0</v>
      </c>
      <c r="Z48" s="15">
        <f>SUM(H48,O48,V48)</f>
        <v>0</v>
      </c>
      <c r="AA48" s="78" t="e">
        <f t="shared" si="78"/>
        <v>#DIV/0!</v>
      </c>
      <c r="AB48" s="78"/>
      <c r="AC48" s="76"/>
      <c r="AD48" s="72"/>
      <c r="AE48" s="72"/>
      <c r="AF48" s="72"/>
      <c r="AG48" s="15">
        <f t="shared" si="79"/>
        <v>0</v>
      </c>
      <c r="AH48" s="15">
        <f t="shared" si="88"/>
        <v>0</v>
      </c>
      <c r="AI48" s="15">
        <f t="shared" si="89"/>
        <v>0</v>
      </c>
      <c r="AJ48" s="76"/>
      <c r="AK48" s="72"/>
      <c r="AL48" s="72"/>
      <c r="AM48" s="72"/>
      <c r="AN48" s="72"/>
      <c r="AO48" s="15">
        <f t="shared" si="80"/>
        <v>0</v>
      </c>
      <c r="AP48" s="15">
        <f t="shared" si="90"/>
        <v>0</v>
      </c>
      <c r="AQ48" s="15">
        <f t="shared" si="91"/>
        <v>0</v>
      </c>
      <c r="AV48" s="15">
        <f>COUNTIF(AR48:AU48,"PR")</f>
        <v>0</v>
      </c>
      <c r="AW48" s="15">
        <f t="shared" si="108"/>
        <v>0</v>
      </c>
      <c r="AX48" s="15">
        <f t="shared" si="98"/>
        <v>0</v>
      </c>
      <c r="AY48" s="15">
        <f>AI48+AQ48+AX48</f>
        <v>0</v>
      </c>
      <c r="AZ48" s="15">
        <f>SUM(AG48,AO48,AV48)</f>
        <v>0</v>
      </c>
      <c r="BA48" s="78" t="e">
        <f t="shared" si="81"/>
        <v>#DIV/0!</v>
      </c>
      <c r="BD48" s="1"/>
      <c r="BF48" s="15">
        <f t="shared" si="82"/>
        <v>0</v>
      </c>
      <c r="BG48" s="15">
        <f t="shared" si="92"/>
        <v>0</v>
      </c>
      <c r="BH48" s="15">
        <f t="shared" si="93"/>
        <v>0</v>
      </c>
      <c r="BN48" s="15">
        <f t="shared" si="83"/>
        <v>0</v>
      </c>
      <c r="BO48" s="15">
        <f t="shared" si="109"/>
        <v>0</v>
      </c>
      <c r="BP48" s="15">
        <f t="shared" si="94"/>
        <v>0</v>
      </c>
      <c r="BU48" s="15">
        <f t="shared" si="84"/>
        <v>0</v>
      </c>
      <c r="BV48" s="15">
        <f t="shared" si="95"/>
        <v>0</v>
      </c>
      <c r="BW48" s="15">
        <f t="shared" si="101"/>
        <v>0</v>
      </c>
      <c r="BX48" s="15">
        <f t="shared" si="110"/>
        <v>0</v>
      </c>
      <c r="BY48" s="15">
        <f t="shared" si="111"/>
        <v>0</v>
      </c>
      <c r="BZ48" s="78" t="e">
        <f t="shared" si="102"/>
        <v>#DIV/0!</v>
      </c>
      <c r="CA48" s="78"/>
      <c r="CG48" s="15">
        <f>COUNTIF(CB48:CF48,"PR")</f>
        <v>0</v>
      </c>
      <c r="CH48" s="15">
        <f>COUNTIF(CB48:CF48,"AB")</f>
        <v>0</v>
      </c>
      <c r="CI48" s="15">
        <f t="shared" si="96"/>
        <v>0</v>
      </c>
      <c r="CN48" s="15">
        <f>COUNTIF(CJ48:CM48,"PR")</f>
        <v>0</v>
      </c>
      <c r="CO48" s="15">
        <f>COUNTIF(CJ48:CM48,"AB")</f>
        <v>0</v>
      </c>
      <c r="CP48" s="15">
        <f t="shared" si="97"/>
        <v>0</v>
      </c>
      <c r="CU48" s="15">
        <f t="shared" si="86"/>
        <v>0</v>
      </c>
      <c r="CV48" s="15">
        <f t="shared" si="103"/>
        <v>0</v>
      </c>
      <c r="CW48" s="15">
        <f t="shared" si="104"/>
        <v>0</v>
      </c>
      <c r="CX48" s="15">
        <f>CG48+CN48+CU48</f>
        <v>0</v>
      </c>
      <c r="CY48" s="15" t="e">
        <f>SUM(CE48,#REF!,CS48)</f>
        <v>#REF!</v>
      </c>
      <c r="CZ48" s="78" t="e">
        <f t="shared" si="105"/>
        <v>#REF!</v>
      </c>
      <c r="DA48" s="78"/>
    </row>
    <row r="49" spans="1:105">
      <c r="A49" s="91"/>
      <c r="B49" s="14"/>
      <c r="H49" s="15">
        <f t="shared" si="100"/>
        <v>0</v>
      </c>
      <c r="I49" s="18">
        <f t="shared" si="112"/>
        <v>0</v>
      </c>
      <c r="J49" s="15">
        <f t="shared" si="113"/>
        <v>0</v>
      </c>
      <c r="O49" s="15">
        <f t="shared" si="77"/>
        <v>0</v>
      </c>
      <c r="P49" s="18">
        <f t="shared" ref="P49:P112" si="114">COUNTIF(K49:N49,"AB")</f>
        <v>0</v>
      </c>
      <c r="Q49" s="15">
        <f t="shared" ref="Q49:Q112" si="115">O49+P49</f>
        <v>0</v>
      </c>
      <c r="V49" s="15">
        <f t="shared" si="106"/>
        <v>0</v>
      </c>
      <c r="W49" s="15">
        <f t="shared" si="107"/>
        <v>0</v>
      </c>
      <c r="X49" s="15">
        <f t="shared" si="99"/>
        <v>0</v>
      </c>
      <c r="Y49" s="15">
        <f>J49+Q49+X49</f>
        <v>0</v>
      </c>
      <c r="Z49" s="15">
        <f>SUM(H49,O49,V49)</f>
        <v>0</v>
      </c>
      <c r="AA49" s="78" t="e">
        <f t="shared" si="78"/>
        <v>#DIV/0!</v>
      </c>
      <c r="AB49" s="78"/>
      <c r="AG49" s="15">
        <f t="shared" si="79"/>
        <v>0</v>
      </c>
      <c r="AH49" s="15">
        <f t="shared" si="88"/>
        <v>0</v>
      </c>
      <c r="AI49" s="15">
        <f t="shared" si="89"/>
        <v>0</v>
      </c>
      <c r="AO49" s="15">
        <f t="shared" si="80"/>
        <v>0</v>
      </c>
      <c r="AP49" s="15">
        <f t="shared" si="90"/>
        <v>0</v>
      </c>
      <c r="AQ49" s="15">
        <f t="shared" si="91"/>
        <v>0</v>
      </c>
      <c r="AV49" s="15">
        <f>COUNTIF(AR49:AU49,"PR")</f>
        <v>0</v>
      </c>
      <c r="AW49" s="15">
        <f t="shared" si="108"/>
        <v>0</v>
      </c>
      <c r="AX49" s="15">
        <f t="shared" si="98"/>
        <v>0</v>
      </c>
      <c r="AY49" s="15">
        <f>AI49+AQ49+AX49</f>
        <v>0</v>
      </c>
      <c r="AZ49" s="15">
        <f>SUM(AG49,AO49,AV49)</f>
        <v>0</v>
      </c>
      <c r="BA49" s="78" t="e">
        <f t="shared" si="81"/>
        <v>#DIV/0!</v>
      </c>
      <c r="BD49" s="1"/>
      <c r="BF49" s="15">
        <f t="shared" si="82"/>
        <v>0</v>
      </c>
      <c r="BG49" s="15">
        <f t="shared" si="92"/>
        <v>0</v>
      </c>
      <c r="BH49" s="15">
        <f t="shared" si="93"/>
        <v>0</v>
      </c>
      <c r="BN49" s="15">
        <f t="shared" si="83"/>
        <v>0</v>
      </c>
      <c r="BO49" s="15">
        <f t="shared" si="109"/>
        <v>0</v>
      </c>
      <c r="BP49" s="15">
        <f t="shared" si="94"/>
        <v>0</v>
      </c>
      <c r="BU49" s="15">
        <f t="shared" si="84"/>
        <v>0</v>
      </c>
      <c r="BV49" s="15">
        <f t="shared" si="95"/>
        <v>0</v>
      </c>
      <c r="BW49" s="15">
        <f t="shared" si="101"/>
        <v>0</v>
      </c>
      <c r="BX49" s="15">
        <f t="shared" si="110"/>
        <v>0</v>
      </c>
      <c r="BY49" s="15">
        <f t="shared" si="111"/>
        <v>0</v>
      </c>
      <c r="BZ49" s="78" t="e">
        <f t="shared" si="102"/>
        <v>#DIV/0!</v>
      </c>
      <c r="CA49" s="78"/>
      <c r="CG49" s="15">
        <f>COUNTIF(CB49:CF49,"PR")</f>
        <v>0</v>
      </c>
      <c r="CH49" s="15">
        <f>COUNTIF(CB49:CF49,"AB")</f>
        <v>0</v>
      </c>
      <c r="CI49" s="15">
        <f t="shared" si="96"/>
        <v>0</v>
      </c>
      <c r="CN49" s="15">
        <f>COUNTIF(CJ49:CM49,"PR")</f>
        <v>0</v>
      </c>
      <c r="CO49" s="15">
        <f>COUNTIF(CJ49:CM49,"AB")</f>
        <v>0</v>
      </c>
      <c r="CP49" s="15">
        <f t="shared" si="97"/>
        <v>0</v>
      </c>
      <c r="CU49" s="15">
        <f t="shared" si="86"/>
        <v>0</v>
      </c>
      <c r="CV49" s="15">
        <f t="shared" si="103"/>
        <v>0</v>
      </c>
      <c r="CW49" s="15">
        <f t="shared" si="104"/>
        <v>0</v>
      </c>
      <c r="CX49" s="15">
        <f>CG49+CN49+CU49</f>
        <v>0</v>
      </c>
      <c r="CY49" s="15" t="e">
        <f>SUM(CE49,#REF!,CS49)</f>
        <v>#REF!</v>
      </c>
      <c r="CZ49" s="78" t="e">
        <f t="shared" si="105"/>
        <v>#REF!</v>
      </c>
      <c r="DA49" s="78"/>
    </row>
    <row r="50" spans="1:105">
      <c r="A50" s="91"/>
      <c r="B50" s="14"/>
      <c r="H50" s="15">
        <f t="shared" si="100"/>
        <v>0</v>
      </c>
      <c r="I50" s="18">
        <f t="shared" si="112"/>
        <v>0</v>
      </c>
      <c r="J50" s="15">
        <f t="shared" si="113"/>
        <v>0</v>
      </c>
      <c r="O50" s="15">
        <f t="shared" si="77"/>
        <v>0</v>
      </c>
      <c r="P50" s="18">
        <f t="shared" si="114"/>
        <v>0</v>
      </c>
      <c r="Q50" s="15">
        <f t="shared" si="115"/>
        <v>0</v>
      </c>
      <c r="V50" s="15">
        <f t="shared" si="106"/>
        <v>0</v>
      </c>
      <c r="W50" s="15">
        <f t="shared" si="107"/>
        <v>0</v>
      </c>
      <c r="X50" s="15">
        <f t="shared" si="99"/>
        <v>0</v>
      </c>
      <c r="Y50" s="15">
        <f>J50+Q50+X50</f>
        <v>0</v>
      </c>
      <c r="Z50" s="15">
        <f>SUM(H50,O50,V50)</f>
        <v>0</v>
      </c>
      <c r="AA50" s="78" t="e">
        <f t="shared" si="78"/>
        <v>#DIV/0!</v>
      </c>
      <c r="AB50" s="78"/>
      <c r="AG50" s="15">
        <f t="shared" si="79"/>
        <v>0</v>
      </c>
      <c r="AH50" s="15">
        <f t="shared" si="88"/>
        <v>0</v>
      </c>
      <c r="AI50" s="15">
        <f t="shared" si="89"/>
        <v>0</v>
      </c>
      <c r="AO50" s="15">
        <f t="shared" si="80"/>
        <v>0</v>
      </c>
      <c r="AP50" s="15">
        <f t="shared" si="90"/>
        <v>0</v>
      </c>
      <c r="AQ50" s="15">
        <f t="shared" si="91"/>
        <v>0</v>
      </c>
      <c r="AV50" s="15">
        <f>COUNTIF(AR50:AU50,"PR")</f>
        <v>0</v>
      </c>
      <c r="AW50" s="15">
        <f t="shared" si="108"/>
        <v>0</v>
      </c>
      <c r="AX50" s="15">
        <f t="shared" si="98"/>
        <v>0</v>
      </c>
      <c r="AY50" s="15">
        <f>AI50+AQ50+AX50</f>
        <v>0</v>
      </c>
      <c r="AZ50" s="15">
        <f>SUM(AG50,AO50,AV50)</f>
        <v>0</v>
      </c>
      <c r="BA50" s="78" t="e">
        <f t="shared" si="81"/>
        <v>#DIV/0!</v>
      </c>
      <c r="BD50" s="1"/>
      <c r="BF50" s="15">
        <f t="shared" si="82"/>
        <v>0</v>
      </c>
      <c r="BG50" s="15">
        <f t="shared" si="92"/>
        <v>0</v>
      </c>
      <c r="BH50" s="15">
        <f t="shared" si="93"/>
        <v>0</v>
      </c>
      <c r="BN50" s="15">
        <f t="shared" si="83"/>
        <v>0</v>
      </c>
      <c r="BO50" s="15">
        <f t="shared" si="109"/>
        <v>0</v>
      </c>
      <c r="BP50" s="15">
        <f t="shared" si="94"/>
        <v>0</v>
      </c>
      <c r="BU50" s="15">
        <f t="shared" si="84"/>
        <v>0</v>
      </c>
      <c r="BV50" s="15">
        <f t="shared" si="95"/>
        <v>0</v>
      </c>
      <c r="BW50" s="15">
        <f t="shared" si="101"/>
        <v>0</v>
      </c>
      <c r="BX50" s="15">
        <f t="shared" si="110"/>
        <v>0</v>
      </c>
      <c r="BY50" s="15">
        <f t="shared" si="111"/>
        <v>0</v>
      </c>
      <c r="BZ50" s="78" t="e">
        <f t="shared" si="102"/>
        <v>#DIV/0!</v>
      </c>
      <c r="CA50" s="78"/>
      <c r="CG50" s="15">
        <f>COUNTIF(CB50:CF50,"PR")</f>
        <v>0</v>
      </c>
      <c r="CH50" s="15">
        <f>COUNTIF(CB50:CF50,"AB")</f>
        <v>0</v>
      </c>
      <c r="CI50" s="15">
        <f t="shared" si="96"/>
        <v>0</v>
      </c>
      <c r="CN50" s="15">
        <f>COUNTIF(CJ50:CM50,"PR")</f>
        <v>0</v>
      </c>
      <c r="CO50" s="15">
        <f>COUNTIF(CJ50:CM50,"AB")</f>
        <v>0</v>
      </c>
      <c r="CP50" s="15">
        <f t="shared" si="97"/>
        <v>0</v>
      </c>
      <c r="CU50" s="15">
        <f t="shared" si="86"/>
        <v>0</v>
      </c>
      <c r="CV50" s="15">
        <f t="shared" si="103"/>
        <v>0</v>
      </c>
      <c r="CW50" s="15">
        <f t="shared" si="104"/>
        <v>0</v>
      </c>
      <c r="CX50" s="15">
        <f>CG50+CN50+CU50</f>
        <v>0</v>
      </c>
      <c r="CY50" s="15" t="e">
        <f>SUM(CE50,#REF!,CS50)</f>
        <v>#REF!</v>
      </c>
      <c r="CZ50" s="78" t="e">
        <f t="shared" si="105"/>
        <v>#REF!</v>
      </c>
      <c r="DA50" s="78"/>
    </row>
    <row r="51" spans="1:105">
      <c r="A51" s="91"/>
      <c r="B51" s="14"/>
      <c r="H51" s="15">
        <f t="shared" si="100"/>
        <v>0</v>
      </c>
      <c r="I51" s="18">
        <f t="shared" si="112"/>
        <v>0</v>
      </c>
      <c r="J51" s="15">
        <f t="shared" si="113"/>
        <v>0</v>
      </c>
      <c r="O51" s="15">
        <f t="shared" si="77"/>
        <v>0</v>
      </c>
      <c r="P51" s="18">
        <f t="shared" si="114"/>
        <v>0</v>
      </c>
      <c r="Q51" s="15">
        <f t="shared" si="115"/>
        <v>0</v>
      </c>
      <c r="V51" s="15">
        <f t="shared" si="106"/>
        <v>0</v>
      </c>
      <c r="W51" s="15">
        <f t="shared" si="107"/>
        <v>0</v>
      </c>
      <c r="X51" s="15">
        <f t="shared" si="99"/>
        <v>0</v>
      </c>
      <c r="Y51" s="15">
        <f>J51+Q51+X51</f>
        <v>0</v>
      </c>
      <c r="Z51" s="15">
        <f>SUM(H51,O51,V51)</f>
        <v>0</v>
      </c>
      <c r="AA51" s="78" t="e">
        <f t="shared" si="78"/>
        <v>#DIV/0!</v>
      </c>
      <c r="AB51" s="78"/>
      <c r="AG51" s="15">
        <f t="shared" si="79"/>
        <v>0</v>
      </c>
      <c r="AH51" s="15">
        <f t="shared" si="88"/>
        <v>0</v>
      </c>
      <c r="AI51" s="15">
        <f t="shared" si="89"/>
        <v>0</v>
      </c>
      <c r="AO51" s="15">
        <f t="shared" si="80"/>
        <v>0</v>
      </c>
      <c r="AP51" s="15">
        <f t="shared" si="90"/>
        <v>0</v>
      </c>
      <c r="AQ51" s="15">
        <f t="shared" si="91"/>
        <v>0</v>
      </c>
      <c r="AV51" s="15">
        <f>COUNTIF(AR51:AU51,"PR")</f>
        <v>0</v>
      </c>
      <c r="AW51" s="15">
        <f t="shared" si="108"/>
        <v>0</v>
      </c>
      <c r="AX51" s="15">
        <f t="shared" si="98"/>
        <v>0</v>
      </c>
      <c r="AY51" s="15">
        <f>AI51+AQ51+AX51</f>
        <v>0</v>
      </c>
      <c r="AZ51" s="15">
        <f>SUM(AG51,AO51,AV51)</f>
        <v>0</v>
      </c>
      <c r="BA51" s="78" t="e">
        <f t="shared" si="81"/>
        <v>#DIV/0!</v>
      </c>
      <c r="BD51" s="1"/>
      <c r="BF51" s="15">
        <f t="shared" si="82"/>
        <v>0</v>
      </c>
      <c r="BG51" s="15">
        <f t="shared" si="92"/>
        <v>0</v>
      </c>
      <c r="BH51" s="15">
        <f t="shared" si="93"/>
        <v>0</v>
      </c>
      <c r="BN51" s="15">
        <f t="shared" si="83"/>
        <v>0</v>
      </c>
      <c r="BO51" s="15">
        <f t="shared" si="109"/>
        <v>0</v>
      </c>
      <c r="BP51" s="15">
        <f t="shared" si="94"/>
        <v>0</v>
      </c>
      <c r="BU51" s="15">
        <f t="shared" si="84"/>
        <v>0</v>
      </c>
      <c r="BV51" s="15">
        <f t="shared" si="95"/>
        <v>0</v>
      </c>
      <c r="BW51" s="15">
        <f t="shared" si="101"/>
        <v>0</v>
      </c>
      <c r="BX51" s="15">
        <f t="shared" si="110"/>
        <v>0</v>
      </c>
      <c r="BY51" s="15">
        <f t="shared" si="111"/>
        <v>0</v>
      </c>
      <c r="BZ51" s="78" t="e">
        <f t="shared" si="102"/>
        <v>#DIV/0!</v>
      </c>
      <c r="CA51" s="78"/>
      <c r="CG51" s="15">
        <f>COUNTIF(CB51:CF51,"PR")</f>
        <v>0</v>
      </c>
      <c r="CH51" s="15">
        <f>COUNTIF(CB51:CF51,"AB")</f>
        <v>0</v>
      </c>
      <c r="CI51" s="15">
        <f t="shared" si="96"/>
        <v>0</v>
      </c>
      <c r="CN51" s="15">
        <f>COUNTIF(CJ51:CM51,"PR")</f>
        <v>0</v>
      </c>
      <c r="CO51" s="15">
        <f>COUNTIF(CJ51:CM51,"AB")</f>
        <v>0</v>
      </c>
      <c r="CP51" s="15">
        <f t="shared" si="97"/>
        <v>0</v>
      </c>
      <c r="CU51" s="15">
        <f t="shared" si="86"/>
        <v>0</v>
      </c>
      <c r="CV51" s="15">
        <f t="shared" si="103"/>
        <v>0</v>
      </c>
      <c r="CW51" s="15">
        <f t="shared" si="104"/>
        <v>0</v>
      </c>
      <c r="CX51" s="15">
        <f>CG51+CN51+CU51</f>
        <v>0</v>
      </c>
      <c r="CY51" s="15" t="e">
        <f>SUM(CE51,#REF!,CS51)</f>
        <v>#REF!</v>
      </c>
      <c r="CZ51" s="78" t="e">
        <f t="shared" si="105"/>
        <v>#REF!</v>
      </c>
      <c r="DA51" s="78"/>
    </row>
    <row r="52" spans="1:105">
      <c r="A52" s="91"/>
      <c r="B52" s="14"/>
      <c r="H52" s="15">
        <f t="shared" si="100"/>
        <v>0</v>
      </c>
      <c r="I52" s="18">
        <f t="shared" si="112"/>
        <v>0</v>
      </c>
      <c r="J52" s="15">
        <f t="shared" si="113"/>
        <v>0</v>
      </c>
      <c r="O52" s="15">
        <f t="shared" si="77"/>
        <v>0</v>
      </c>
      <c r="P52" s="18">
        <f t="shared" si="114"/>
        <v>0</v>
      </c>
      <c r="Q52" s="15">
        <f t="shared" si="115"/>
        <v>0</v>
      </c>
      <c r="V52" s="15">
        <f t="shared" si="106"/>
        <v>0</v>
      </c>
      <c r="W52" s="15">
        <f t="shared" si="107"/>
        <v>0</v>
      </c>
      <c r="X52" s="15">
        <f t="shared" si="99"/>
        <v>0</v>
      </c>
      <c r="Y52" s="15">
        <f>J52+Q52+X52</f>
        <v>0</v>
      </c>
      <c r="Z52" s="15">
        <f>SUM(H52,O52,V52)</f>
        <v>0</v>
      </c>
      <c r="AA52" s="78" t="e">
        <f t="shared" si="78"/>
        <v>#DIV/0!</v>
      </c>
      <c r="AB52" s="78"/>
      <c r="AG52" s="15">
        <f t="shared" si="79"/>
        <v>0</v>
      </c>
      <c r="AH52" s="15">
        <f t="shared" si="88"/>
        <v>0</v>
      </c>
      <c r="AI52" s="15">
        <f t="shared" si="89"/>
        <v>0</v>
      </c>
      <c r="AO52" s="15">
        <f t="shared" si="80"/>
        <v>0</v>
      </c>
      <c r="AP52" s="15">
        <f t="shared" si="90"/>
        <v>0</v>
      </c>
      <c r="AQ52" s="15">
        <f t="shared" si="91"/>
        <v>0</v>
      </c>
      <c r="AV52" s="15">
        <f>COUNTIF(AR52:AU52,"PR")</f>
        <v>0</v>
      </c>
      <c r="AW52" s="15">
        <f t="shared" si="108"/>
        <v>0</v>
      </c>
      <c r="AX52" s="15">
        <f t="shared" si="98"/>
        <v>0</v>
      </c>
      <c r="AY52" s="15">
        <f>AI52+AQ52+AX52</f>
        <v>0</v>
      </c>
      <c r="AZ52" s="15">
        <f>SUM(AG52,AO52,AV52)</f>
        <v>0</v>
      </c>
      <c r="BA52" s="78" t="e">
        <f t="shared" si="81"/>
        <v>#DIV/0!</v>
      </c>
      <c r="BD52" s="1"/>
      <c r="BF52" s="15">
        <f t="shared" si="82"/>
        <v>0</v>
      </c>
      <c r="BG52" s="15">
        <f t="shared" si="92"/>
        <v>0</v>
      </c>
      <c r="BH52" s="15">
        <f t="shared" si="93"/>
        <v>0</v>
      </c>
      <c r="BN52" s="15">
        <f t="shared" si="83"/>
        <v>0</v>
      </c>
      <c r="BO52" s="15">
        <f t="shared" si="109"/>
        <v>0</v>
      </c>
      <c r="BP52" s="15">
        <f t="shared" si="94"/>
        <v>0</v>
      </c>
      <c r="BU52" s="15">
        <f t="shared" si="84"/>
        <v>0</v>
      </c>
      <c r="BV52" s="15">
        <f t="shared" si="95"/>
        <v>0</v>
      </c>
      <c r="BW52" s="15">
        <f t="shared" si="101"/>
        <v>0</v>
      </c>
      <c r="BX52" s="15">
        <f t="shared" si="110"/>
        <v>0</v>
      </c>
      <c r="BY52" s="15">
        <f t="shared" si="111"/>
        <v>0</v>
      </c>
      <c r="BZ52" s="78" t="e">
        <f t="shared" si="102"/>
        <v>#DIV/0!</v>
      </c>
      <c r="CA52" s="78"/>
      <c r="CG52" s="15">
        <f>COUNTIF(CB52:CF52,"PR")</f>
        <v>0</v>
      </c>
      <c r="CH52" s="15">
        <f>COUNTIF(CB52:CF52,"AB")</f>
        <v>0</v>
      </c>
      <c r="CI52" s="15">
        <f t="shared" si="96"/>
        <v>0</v>
      </c>
      <c r="CN52" s="15">
        <f>COUNTIF(CJ52:CM52,"PR")</f>
        <v>0</v>
      </c>
      <c r="CO52" s="15">
        <f>COUNTIF(CJ52:CM52,"AB")</f>
        <v>0</v>
      </c>
      <c r="CP52" s="15">
        <f t="shared" si="97"/>
        <v>0</v>
      </c>
      <c r="CU52" s="15">
        <f t="shared" si="86"/>
        <v>0</v>
      </c>
      <c r="CV52" s="15">
        <f t="shared" si="103"/>
        <v>0</v>
      </c>
      <c r="CW52" s="15">
        <f t="shared" si="104"/>
        <v>0</v>
      </c>
      <c r="CX52" s="15">
        <f>CG52+CN52+CU52</f>
        <v>0</v>
      </c>
      <c r="CY52" s="15" t="e">
        <f>SUM(CE52,#REF!,CS52)</f>
        <v>#REF!</v>
      </c>
      <c r="CZ52" s="78" t="e">
        <f t="shared" si="105"/>
        <v>#REF!</v>
      </c>
      <c r="DA52" s="78"/>
    </row>
    <row r="53" spans="1:105">
      <c r="A53" s="91"/>
      <c r="B53" s="14"/>
      <c r="H53" s="15">
        <f t="shared" si="100"/>
        <v>0</v>
      </c>
      <c r="I53" s="18">
        <f t="shared" si="112"/>
        <v>0</v>
      </c>
      <c r="J53" s="15">
        <f t="shared" si="113"/>
        <v>0</v>
      </c>
      <c r="O53" s="15">
        <f t="shared" si="77"/>
        <v>0</v>
      </c>
      <c r="P53" s="18">
        <f t="shared" si="114"/>
        <v>0</v>
      </c>
      <c r="Q53" s="15">
        <f t="shared" si="115"/>
        <v>0</v>
      </c>
      <c r="V53" s="15">
        <f t="shared" si="106"/>
        <v>0</v>
      </c>
      <c r="W53" s="15">
        <f t="shared" si="107"/>
        <v>0</v>
      </c>
      <c r="X53" s="15">
        <f t="shared" si="99"/>
        <v>0</v>
      </c>
      <c r="Y53" s="15">
        <f>J53+Q53+X53</f>
        <v>0</v>
      </c>
      <c r="Z53" s="15">
        <f>SUM(H53,O53,V53)</f>
        <v>0</v>
      </c>
      <c r="AA53" s="78" t="e">
        <f t="shared" si="78"/>
        <v>#DIV/0!</v>
      </c>
      <c r="AB53" s="78"/>
      <c r="AG53" s="15">
        <f t="shared" si="79"/>
        <v>0</v>
      </c>
      <c r="AH53" s="15">
        <f t="shared" si="88"/>
        <v>0</v>
      </c>
      <c r="AI53" s="15">
        <f t="shared" si="89"/>
        <v>0</v>
      </c>
      <c r="AO53" s="15">
        <f t="shared" si="80"/>
        <v>0</v>
      </c>
      <c r="AP53" s="15">
        <f t="shared" si="90"/>
        <v>0</v>
      </c>
      <c r="AQ53" s="15">
        <f t="shared" si="91"/>
        <v>0</v>
      </c>
      <c r="AV53" s="15">
        <f>COUNTIF(AR53:AU53,"PR")</f>
        <v>0</v>
      </c>
      <c r="AW53" s="15">
        <f t="shared" si="108"/>
        <v>0</v>
      </c>
      <c r="AX53" s="15">
        <f t="shared" si="98"/>
        <v>0</v>
      </c>
      <c r="AY53" s="15">
        <f>AI53+AQ53+AX53</f>
        <v>0</v>
      </c>
      <c r="AZ53" s="15">
        <f>SUM(AG53,AO53,AV53)</f>
        <v>0</v>
      </c>
      <c r="BA53" s="78" t="e">
        <f t="shared" si="81"/>
        <v>#DIV/0!</v>
      </c>
      <c r="BD53" s="1"/>
      <c r="BF53" s="15">
        <f t="shared" si="82"/>
        <v>0</v>
      </c>
      <c r="BG53" s="15">
        <f t="shared" si="92"/>
        <v>0</v>
      </c>
      <c r="BH53" s="15">
        <f t="shared" si="93"/>
        <v>0</v>
      </c>
      <c r="BN53" s="15">
        <f t="shared" si="83"/>
        <v>0</v>
      </c>
      <c r="BO53" s="15">
        <f t="shared" si="109"/>
        <v>0</v>
      </c>
      <c r="BP53" s="15">
        <f t="shared" si="94"/>
        <v>0</v>
      </c>
      <c r="BU53" s="15">
        <f t="shared" si="84"/>
        <v>0</v>
      </c>
      <c r="BV53" s="15">
        <f t="shared" si="95"/>
        <v>0</v>
      </c>
      <c r="BW53" s="15">
        <f t="shared" si="101"/>
        <v>0</v>
      </c>
      <c r="BX53" s="15">
        <f t="shared" si="110"/>
        <v>0</v>
      </c>
      <c r="BY53" s="15">
        <f t="shared" si="111"/>
        <v>0</v>
      </c>
      <c r="BZ53" s="78" t="e">
        <f t="shared" si="102"/>
        <v>#DIV/0!</v>
      </c>
      <c r="CA53" s="78"/>
      <c r="CG53" s="15">
        <f>COUNTIF(CB53:CF53,"PR")</f>
        <v>0</v>
      </c>
      <c r="CH53" s="15">
        <f>COUNTIF(CB53:CF53,"AB")</f>
        <v>0</v>
      </c>
      <c r="CI53" s="15">
        <f t="shared" si="96"/>
        <v>0</v>
      </c>
      <c r="CN53" s="15">
        <f>COUNTIF(CJ53:CM53,"PR")</f>
        <v>0</v>
      </c>
      <c r="CO53" s="15">
        <f>COUNTIF(CJ53:CM53,"AB")</f>
        <v>0</v>
      </c>
      <c r="CP53" s="15">
        <f t="shared" si="97"/>
        <v>0</v>
      </c>
      <c r="CU53" s="15">
        <f t="shared" si="86"/>
        <v>0</v>
      </c>
      <c r="CV53" s="15">
        <f t="shared" si="103"/>
        <v>0</v>
      </c>
      <c r="CW53" s="15">
        <f t="shared" si="104"/>
        <v>0</v>
      </c>
      <c r="CX53" s="15">
        <f>CG53+CN53+CU53</f>
        <v>0</v>
      </c>
      <c r="CY53" s="15" t="e">
        <f>SUM(CE53,#REF!,CS53)</f>
        <v>#REF!</v>
      </c>
      <c r="CZ53" s="78" t="e">
        <f t="shared" si="105"/>
        <v>#REF!</v>
      </c>
      <c r="DA53" s="78"/>
    </row>
    <row r="54" spans="1:105">
      <c r="A54" s="91"/>
      <c r="B54" s="14"/>
      <c r="H54" s="15">
        <f t="shared" si="100"/>
        <v>0</v>
      </c>
      <c r="I54" s="18">
        <f t="shared" si="112"/>
        <v>0</v>
      </c>
      <c r="J54" s="15">
        <f t="shared" si="113"/>
        <v>0</v>
      </c>
      <c r="O54" s="15">
        <f t="shared" si="77"/>
        <v>0</v>
      </c>
      <c r="P54" s="18">
        <f t="shared" si="114"/>
        <v>0</v>
      </c>
      <c r="Q54" s="15">
        <f t="shared" si="115"/>
        <v>0</v>
      </c>
      <c r="V54" s="15">
        <f t="shared" si="106"/>
        <v>0</v>
      </c>
      <c r="W54" s="15">
        <f t="shared" si="107"/>
        <v>0</v>
      </c>
      <c r="X54" s="15">
        <f t="shared" si="99"/>
        <v>0</v>
      </c>
      <c r="Y54" s="15">
        <f>J54+Q54+X54</f>
        <v>0</v>
      </c>
      <c r="Z54" s="15">
        <f>SUM(H54,O54,V54)</f>
        <v>0</v>
      </c>
      <c r="AA54" s="78" t="e">
        <f t="shared" si="78"/>
        <v>#DIV/0!</v>
      </c>
      <c r="AB54" s="78"/>
      <c r="AG54" s="15">
        <f t="shared" si="79"/>
        <v>0</v>
      </c>
      <c r="AH54" s="15">
        <f t="shared" si="88"/>
        <v>0</v>
      </c>
      <c r="AI54" s="15">
        <f t="shared" si="89"/>
        <v>0</v>
      </c>
      <c r="AO54" s="15">
        <f t="shared" si="80"/>
        <v>0</v>
      </c>
      <c r="AP54" s="15">
        <f t="shared" si="90"/>
        <v>0</v>
      </c>
      <c r="AQ54" s="15">
        <f t="shared" si="91"/>
        <v>0</v>
      </c>
      <c r="AV54" s="15">
        <f>COUNTIF(AR54:AU54,"PR")</f>
        <v>0</v>
      </c>
      <c r="AW54" s="15">
        <f t="shared" si="108"/>
        <v>0</v>
      </c>
      <c r="AX54" s="15">
        <f t="shared" si="98"/>
        <v>0</v>
      </c>
      <c r="AY54" s="15">
        <f>AI54+AQ54+AX54</f>
        <v>0</v>
      </c>
      <c r="AZ54" s="15">
        <f>SUM(AG54,AO54,AV54)</f>
        <v>0</v>
      </c>
      <c r="BA54" s="78" t="e">
        <f t="shared" si="81"/>
        <v>#DIV/0!</v>
      </c>
      <c r="BD54" s="1"/>
      <c r="BF54" s="15">
        <f t="shared" si="82"/>
        <v>0</v>
      </c>
      <c r="BG54" s="15">
        <f t="shared" si="92"/>
        <v>0</v>
      </c>
      <c r="BH54" s="15">
        <f t="shared" si="93"/>
        <v>0</v>
      </c>
      <c r="BN54" s="15">
        <f t="shared" si="83"/>
        <v>0</v>
      </c>
      <c r="BO54" s="15">
        <f t="shared" si="109"/>
        <v>0</v>
      </c>
      <c r="BP54" s="15">
        <f t="shared" si="94"/>
        <v>0</v>
      </c>
      <c r="BU54" s="15">
        <f t="shared" si="84"/>
        <v>0</v>
      </c>
      <c r="BV54" s="15">
        <f t="shared" si="95"/>
        <v>0</v>
      </c>
      <c r="BW54" s="15">
        <f t="shared" si="101"/>
        <v>0</v>
      </c>
      <c r="BX54" s="15">
        <f t="shared" si="110"/>
        <v>0</v>
      </c>
      <c r="BY54" s="15">
        <f t="shared" si="111"/>
        <v>0</v>
      </c>
      <c r="BZ54" s="78" t="e">
        <f t="shared" si="102"/>
        <v>#DIV/0!</v>
      </c>
      <c r="CA54" s="78"/>
      <c r="CG54" s="15">
        <f>COUNTIF(CB54:CF54,"PR")</f>
        <v>0</v>
      </c>
      <c r="CH54" s="15">
        <f>COUNTIF(CB54:CF54,"AB")</f>
        <v>0</v>
      </c>
      <c r="CI54" s="15">
        <f t="shared" si="96"/>
        <v>0</v>
      </c>
      <c r="CN54" s="15">
        <f>COUNTIF(CJ54:CM54,"PR")</f>
        <v>0</v>
      </c>
      <c r="CO54" s="15">
        <f>COUNTIF(CJ54:CM54,"AB")</f>
        <v>0</v>
      </c>
      <c r="CP54" s="15">
        <f t="shared" si="97"/>
        <v>0</v>
      </c>
      <c r="CU54" s="15">
        <f t="shared" si="86"/>
        <v>0</v>
      </c>
      <c r="CV54" s="15">
        <f t="shared" si="103"/>
        <v>0</v>
      </c>
      <c r="CW54" s="15">
        <f t="shared" si="104"/>
        <v>0</v>
      </c>
      <c r="CX54" s="15">
        <f>CG54+CN54+CU54</f>
        <v>0</v>
      </c>
      <c r="CY54" s="15" t="e">
        <f>SUM(CE54,#REF!,CS54)</f>
        <v>#REF!</v>
      </c>
      <c r="CZ54" s="78" t="e">
        <f t="shared" si="105"/>
        <v>#REF!</v>
      </c>
      <c r="DA54" s="78"/>
    </row>
    <row r="55" spans="1:105">
      <c r="A55" s="91"/>
      <c r="B55" s="14"/>
      <c r="H55" s="15">
        <f t="shared" si="100"/>
        <v>0</v>
      </c>
      <c r="I55" s="18">
        <f t="shared" si="112"/>
        <v>0</v>
      </c>
      <c r="J55" s="15">
        <f t="shared" si="113"/>
        <v>0</v>
      </c>
      <c r="O55" s="15">
        <f t="shared" si="77"/>
        <v>0</v>
      </c>
      <c r="P55" s="18">
        <f t="shared" si="114"/>
        <v>0</v>
      </c>
      <c r="Q55" s="15">
        <f t="shared" si="115"/>
        <v>0</v>
      </c>
      <c r="V55" s="15">
        <f t="shared" si="106"/>
        <v>0</v>
      </c>
      <c r="W55" s="15">
        <f t="shared" si="107"/>
        <v>0</v>
      </c>
      <c r="X55" s="15">
        <f t="shared" si="99"/>
        <v>0</v>
      </c>
      <c r="Y55" s="15">
        <f>J55+Q55+X55</f>
        <v>0</v>
      </c>
      <c r="Z55" s="15">
        <f>SUM(H55,O55,V55)</f>
        <v>0</v>
      </c>
      <c r="AA55" s="78" t="e">
        <f t="shared" si="78"/>
        <v>#DIV/0!</v>
      </c>
      <c r="AB55" s="78"/>
      <c r="AG55" s="15">
        <f t="shared" si="79"/>
        <v>0</v>
      </c>
      <c r="AH55" s="15">
        <f t="shared" si="88"/>
        <v>0</v>
      </c>
      <c r="AI55" s="15">
        <f t="shared" si="89"/>
        <v>0</v>
      </c>
      <c r="AO55" s="15">
        <f t="shared" si="80"/>
        <v>0</v>
      </c>
      <c r="AP55" s="15">
        <f t="shared" si="90"/>
        <v>0</v>
      </c>
      <c r="AQ55" s="15">
        <f t="shared" si="91"/>
        <v>0</v>
      </c>
      <c r="AV55" s="15">
        <f>COUNTIF(AR55:AU55,"PR")</f>
        <v>0</v>
      </c>
      <c r="AW55" s="15">
        <f t="shared" si="108"/>
        <v>0</v>
      </c>
      <c r="AX55" s="15">
        <f t="shared" si="98"/>
        <v>0</v>
      </c>
      <c r="AY55" s="15">
        <f>AI55+AQ55+AX55</f>
        <v>0</v>
      </c>
      <c r="AZ55" s="15">
        <f>SUM(AG55,AO55,AV55)</f>
        <v>0</v>
      </c>
      <c r="BA55" s="78" t="e">
        <f t="shared" si="81"/>
        <v>#DIV/0!</v>
      </c>
      <c r="BD55" s="1"/>
      <c r="BF55" s="15">
        <f t="shared" si="82"/>
        <v>0</v>
      </c>
      <c r="BG55" s="15">
        <f t="shared" si="92"/>
        <v>0</v>
      </c>
      <c r="BH55" s="15">
        <f t="shared" si="93"/>
        <v>0</v>
      </c>
      <c r="BN55" s="15">
        <f t="shared" si="83"/>
        <v>0</v>
      </c>
      <c r="BO55" s="15">
        <f t="shared" si="109"/>
        <v>0</v>
      </c>
      <c r="BP55" s="15">
        <f t="shared" si="94"/>
        <v>0</v>
      </c>
      <c r="BU55" s="15">
        <f t="shared" si="84"/>
        <v>0</v>
      </c>
      <c r="BV55" s="15">
        <f t="shared" si="95"/>
        <v>0</v>
      </c>
      <c r="BW55" s="15">
        <f t="shared" si="101"/>
        <v>0</v>
      </c>
      <c r="BX55" s="15">
        <f t="shared" si="110"/>
        <v>0</v>
      </c>
      <c r="BY55" s="15">
        <f t="shared" si="111"/>
        <v>0</v>
      </c>
      <c r="BZ55" s="78" t="e">
        <f t="shared" si="102"/>
        <v>#DIV/0!</v>
      </c>
      <c r="CA55" s="78"/>
      <c r="CG55" s="15">
        <f>COUNTIF(CB55:CF55,"PR")</f>
        <v>0</v>
      </c>
      <c r="CH55" s="15">
        <f>COUNTIF(CB55:CF55,"AB")</f>
        <v>0</v>
      </c>
      <c r="CI55" s="15">
        <f t="shared" si="96"/>
        <v>0</v>
      </c>
      <c r="CN55" s="15">
        <f>COUNTIF(CJ55:CM55,"PR")</f>
        <v>0</v>
      </c>
      <c r="CO55" s="15">
        <f>COUNTIF(CJ55:CM55,"AB")</f>
        <v>0</v>
      </c>
      <c r="CP55" s="15">
        <f t="shared" si="97"/>
        <v>0</v>
      </c>
      <c r="CU55" s="15">
        <f t="shared" si="86"/>
        <v>0</v>
      </c>
      <c r="CV55" s="15">
        <f t="shared" si="103"/>
        <v>0</v>
      </c>
      <c r="CW55" s="15">
        <f t="shared" si="104"/>
        <v>0</v>
      </c>
      <c r="CX55" s="15">
        <f>CG55+CN55+CU55</f>
        <v>0</v>
      </c>
      <c r="CY55" s="15" t="e">
        <f>SUM(CE55,#REF!,CS55)</f>
        <v>#REF!</v>
      </c>
      <c r="CZ55" s="78" t="e">
        <f t="shared" si="105"/>
        <v>#REF!</v>
      </c>
      <c r="DA55" s="78"/>
    </row>
    <row r="56" spans="1:105">
      <c r="A56" s="91"/>
      <c r="B56" s="14"/>
      <c r="H56" s="15">
        <f t="shared" si="100"/>
        <v>0</v>
      </c>
      <c r="I56" s="18">
        <f t="shared" si="112"/>
        <v>0</v>
      </c>
      <c r="J56" s="15">
        <f t="shared" si="113"/>
        <v>0</v>
      </c>
      <c r="O56" s="15">
        <f t="shared" si="77"/>
        <v>0</v>
      </c>
      <c r="P56" s="18">
        <f t="shared" si="114"/>
        <v>0</v>
      </c>
      <c r="Q56" s="15">
        <f t="shared" si="115"/>
        <v>0</v>
      </c>
      <c r="V56" s="15">
        <f t="shared" si="106"/>
        <v>0</v>
      </c>
      <c r="W56" s="15">
        <f t="shared" si="107"/>
        <v>0</v>
      </c>
      <c r="X56" s="15">
        <f t="shared" si="99"/>
        <v>0</v>
      </c>
      <c r="Y56" s="15">
        <f>J56+Q56+X56</f>
        <v>0</v>
      </c>
      <c r="Z56" s="15">
        <f>SUM(H56,O56,V56)</f>
        <v>0</v>
      </c>
      <c r="AA56" s="78" t="e">
        <f t="shared" si="78"/>
        <v>#DIV/0!</v>
      </c>
      <c r="AB56" s="78"/>
      <c r="AC56" s="76"/>
      <c r="AD56" s="72"/>
      <c r="AE56" s="72"/>
      <c r="AF56" s="72"/>
      <c r="AG56" s="15">
        <f t="shared" si="79"/>
        <v>0</v>
      </c>
      <c r="AH56" s="15">
        <f t="shared" si="88"/>
        <v>0</v>
      </c>
      <c r="AI56" s="15">
        <f t="shared" si="89"/>
        <v>0</v>
      </c>
      <c r="AJ56" s="76"/>
      <c r="AK56" s="72"/>
      <c r="AL56" s="72"/>
      <c r="AM56" s="72"/>
      <c r="AN56" s="72"/>
      <c r="AO56" s="15">
        <f t="shared" si="80"/>
        <v>0</v>
      </c>
      <c r="AP56" s="15">
        <f t="shared" si="90"/>
        <v>0</v>
      </c>
      <c r="AQ56" s="15">
        <f t="shared" si="91"/>
        <v>0</v>
      </c>
      <c r="AV56" s="15">
        <f>COUNTIF(AR56:AU56,"PR")</f>
        <v>0</v>
      </c>
      <c r="AW56" s="15">
        <f t="shared" si="108"/>
        <v>0</v>
      </c>
      <c r="AX56" s="15">
        <f t="shared" si="98"/>
        <v>0</v>
      </c>
      <c r="AY56" s="15">
        <f>AI56+AQ56+AX56</f>
        <v>0</v>
      </c>
      <c r="AZ56" s="15">
        <f>SUM(AG56,AO56,AV56)</f>
        <v>0</v>
      </c>
      <c r="BA56" s="78" t="e">
        <f t="shared" si="81"/>
        <v>#DIV/0!</v>
      </c>
      <c r="BD56" s="1"/>
      <c r="BF56" s="15">
        <f t="shared" si="82"/>
        <v>0</v>
      </c>
      <c r="BG56" s="15">
        <f t="shared" si="92"/>
        <v>0</v>
      </c>
      <c r="BH56" s="15">
        <f t="shared" si="93"/>
        <v>0</v>
      </c>
      <c r="BN56" s="15">
        <f t="shared" si="83"/>
        <v>0</v>
      </c>
      <c r="BO56" s="15">
        <f t="shared" si="109"/>
        <v>0</v>
      </c>
      <c r="BP56" s="15">
        <f t="shared" si="94"/>
        <v>0</v>
      </c>
      <c r="BU56" s="15">
        <f t="shared" si="84"/>
        <v>0</v>
      </c>
      <c r="BV56" s="15">
        <f t="shared" si="95"/>
        <v>0</v>
      </c>
      <c r="BW56" s="15">
        <f t="shared" si="101"/>
        <v>0</v>
      </c>
      <c r="BX56" s="15">
        <f t="shared" si="110"/>
        <v>0</v>
      </c>
      <c r="BY56" s="15">
        <f t="shared" si="111"/>
        <v>0</v>
      </c>
      <c r="BZ56" s="78" t="e">
        <f t="shared" si="102"/>
        <v>#DIV/0!</v>
      </c>
      <c r="CA56" s="78"/>
      <c r="CG56" s="15">
        <f>COUNTIF(CB56:CF56,"PR")</f>
        <v>0</v>
      </c>
      <c r="CH56" s="15">
        <f>COUNTIF(CB56:CF56,"AB")</f>
        <v>0</v>
      </c>
      <c r="CI56" s="15">
        <f t="shared" si="96"/>
        <v>0</v>
      </c>
      <c r="CN56" s="15">
        <f>COUNTIF(CJ56:CM56,"PR")</f>
        <v>0</v>
      </c>
      <c r="CO56" s="15">
        <f>COUNTIF(CJ56:CM56,"AB")</f>
        <v>0</v>
      </c>
      <c r="CP56" s="15">
        <f t="shared" si="97"/>
        <v>0</v>
      </c>
      <c r="CU56" s="15">
        <f t="shared" si="86"/>
        <v>0</v>
      </c>
      <c r="CV56" s="15">
        <f t="shared" si="103"/>
        <v>0</v>
      </c>
      <c r="CW56" s="15">
        <f t="shared" si="104"/>
        <v>0</v>
      </c>
      <c r="CX56" s="15">
        <f>CG56+CN56+CU56</f>
        <v>0</v>
      </c>
      <c r="CY56" s="15" t="e">
        <f>SUM(CE56,#REF!,CS56)</f>
        <v>#REF!</v>
      </c>
      <c r="CZ56" s="78" t="e">
        <f t="shared" si="105"/>
        <v>#REF!</v>
      </c>
      <c r="DA56" s="78"/>
    </row>
    <row r="57" spans="1:105">
      <c r="A57" s="91"/>
      <c r="B57" s="14"/>
      <c r="H57" s="15">
        <f t="shared" si="100"/>
        <v>0</v>
      </c>
      <c r="I57" s="18">
        <f t="shared" si="112"/>
        <v>0</v>
      </c>
      <c r="J57" s="15">
        <f t="shared" si="113"/>
        <v>0</v>
      </c>
      <c r="O57" s="15">
        <f t="shared" si="77"/>
        <v>0</v>
      </c>
      <c r="P57" s="18">
        <f t="shared" si="114"/>
        <v>0</v>
      </c>
      <c r="Q57" s="15">
        <f t="shared" si="115"/>
        <v>0</v>
      </c>
      <c r="V57" s="15">
        <f t="shared" si="106"/>
        <v>0</v>
      </c>
      <c r="W57" s="15">
        <f t="shared" si="107"/>
        <v>0</v>
      </c>
      <c r="X57" s="15">
        <f t="shared" si="99"/>
        <v>0</v>
      </c>
      <c r="Y57" s="15">
        <f>J57+Q57+X57</f>
        <v>0</v>
      </c>
      <c r="Z57" s="15">
        <f>SUM(H57,O57,V57)</f>
        <v>0</v>
      </c>
      <c r="AA57" s="78" t="e">
        <f t="shared" si="78"/>
        <v>#DIV/0!</v>
      </c>
      <c r="AB57" s="78"/>
      <c r="AG57" s="15">
        <f t="shared" si="79"/>
        <v>0</v>
      </c>
      <c r="AH57" s="15">
        <f t="shared" si="88"/>
        <v>0</v>
      </c>
      <c r="AI57" s="15">
        <f t="shared" si="89"/>
        <v>0</v>
      </c>
      <c r="AO57" s="15">
        <f t="shared" si="80"/>
        <v>0</v>
      </c>
      <c r="AP57" s="15">
        <f t="shared" si="90"/>
        <v>0</v>
      </c>
      <c r="AQ57" s="15">
        <f t="shared" si="91"/>
        <v>0</v>
      </c>
      <c r="AV57" s="15">
        <f>COUNTIF(AR57:AU57,"PR")</f>
        <v>0</v>
      </c>
      <c r="AW57" s="15">
        <f t="shared" si="108"/>
        <v>0</v>
      </c>
      <c r="AX57" s="15">
        <f t="shared" si="98"/>
        <v>0</v>
      </c>
      <c r="AY57" s="15">
        <f>AI57+AQ57+AX57</f>
        <v>0</v>
      </c>
      <c r="AZ57" s="15">
        <f>SUM(AG57,AO57,AV57)</f>
        <v>0</v>
      </c>
      <c r="BA57" s="78" t="e">
        <f t="shared" si="81"/>
        <v>#DIV/0!</v>
      </c>
      <c r="BD57" s="1"/>
      <c r="BF57" s="15">
        <f t="shared" si="82"/>
        <v>0</v>
      </c>
      <c r="BG57" s="15">
        <f t="shared" si="92"/>
        <v>0</v>
      </c>
      <c r="BH57" s="15">
        <f t="shared" si="93"/>
        <v>0</v>
      </c>
      <c r="BN57" s="15">
        <f t="shared" si="83"/>
        <v>0</v>
      </c>
      <c r="BO57" s="15">
        <f t="shared" si="109"/>
        <v>0</v>
      </c>
      <c r="BP57" s="15">
        <f t="shared" si="94"/>
        <v>0</v>
      </c>
      <c r="BU57" s="15">
        <f t="shared" si="84"/>
        <v>0</v>
      </c>
      <c r="BV57" s="15">
        <f t="shared" si="95"/>
        <v>0</v>
      </c>
      <c r="BW57" s="15">
        <f t="shared" si="101"/>
        <v>0</v>
      </c>
      <c r="BX57" s="15">
        <f t="shared" si="110"/>
        <v>0</v>
      </c>
      <c r="BY57" s="15">
        <f t="shared" si="111"/>
        <v>0</v>
      </c>
      <c r="BZ57" s="78" t="e">
        <f t="shared" si="102"/>
        <v>#DIV/0!</v>
      </c>
      <c r="CA57" s="78"/>
      <c r="CG57" s="15">
        <f>COUNTIF(CB57:CF57,"PR")</f>
        <v>0</v>
      </c>
      <c r="CH57" s="15">
        <f>COUNTIF(CB57:CF57,"AB")</f>
        <v>0</v>
      </c>
      <c r="CI57" s="15">
        <f t="shared" si="96"/>
        <v>0</v>
      </c>
      <c r="CN57" s="15">
        <f>COUNTIF(CJ57:CM57,"PR")</f>
        <v>0</v>
      </c>
      <c r="CO57" s="15">
        <f>COUNTIF(CJ57:CM57,"AB")</f>
        <v>0</v>
      </c>
      <c r="CP57" s="15">
        <f t="shared" si="97"/>
        <v>0</v>
      </c>
      <c r="CU57" s="15">
        <f t="shared" si="86"/>
        <v>0</v>
      </c>
      <c r="CV57" s="15">
        <f t="shared" si="103"/>
        <v>0</v>
      </c>
      <c r="CW57" s="15">
        <f t="shared" si="104"/>
        <v>0</v>
      </c>
      <c r="CX57" s="15">
        <f>CG57+CN57+CU57</f>
        <v>0</v>
      </c>
      <c r="CY57" s="15" t="e">
        <f>SUM(CE57,#REF!,CS57)</f>
        <v>#REF!</v>
      </c>
      <c r="CZ57" s="78" t="e">
        <f t="shared" si="105"/>
        <v>#REF!</v>
      </c>
      <c r="DA57" s="78"/>
    </row>
    <row r="58" spans="1:105">
      <c r="A58" s="91"/>
      <c r="B58" s="14"/>
      <c r="H58" s="15">
        <f t="shared" si="100"/>
        <v>0</v>
      </c>
      <c r="I58" s="18">
        <f t="shared" si="112"/>
        <v>0</v>
      </c>
      <c r="J58" s="15">
        <f t="shared" si="113"/>
        <v>0</v>
      </c>
      <c r="O58" s="15">
        <f t="shared" si="77"/>
        <v>0</v>
      </c>
      <c r="P58" s="18">
        <f t="shared" si="114"/>
        <v>0</v>
      </c>
      <c r="Q58" s="15">
        <f t="shared" si="115"/>
        <v>0</v>
      </c>
      <c r="V58" s="15">
        <f t="shared" si="106"/>
        <v>0</v>
      </c>
      <c r="W58" s="15">
        <f t="shared" si="107"/>
        <v>0</v>
      </c>
      <c r="X58" s="15">
        <f t="shared" si="99"/>
        <v>0</v>
      </c>
      <c r="Y58" s="15">
        <f>J58+Q58+X58</f>
        <v>0</v>
      </c>
      <c r="Z58" s="15">
        <f>SUM(H58,O58,V58)</f>
        <v>0</v>
      </c>
      <c r="AA58" s="78" t="e">
        <f t="shared" si="78"/>
        <v>#DIV/0!</v>
      </c>
      <c r="AB58" s="78"/>
      <c r="AG58" s="15">
        <f t="shared" si="79"/>
        <v>0</v>
      </c>
      <c r="AH58" s="15">
        <f t="shared" si="88"/>
        <v>0</v>
      </c>
      <c r="AI58" s="15">
        <f t="shared" si="89"/>
        <v>0</v>
      </c>
      <c r="AO58" s="15">
        <f t="shared" si="80"/>
        <v>0</v>
      </c>
      <c r="AP58" s="15">
        <f t="shared" si="90"/>
        <v>0</v>
      </c>
      <c r="AQ58" s="15">
        <f t="shared" si="91"/>
        <v>0</v>
      </c>
      <c r="AV58" s="15">
        <f>COUNTIF(AR58:AU58,"PR")</f>
        <v>0</v>
      </c>
      <c r="AW58" s="15">
        <f t="shared" si="108"/>
        <v>0</v>
      </c>
      <c r="AX58" s="15">
        <f t="shared" si="98"/>
        <v>0</v>
      </c>
      <c r="AY58" s="15">
        <f>AI58+AQ58+AX58</f>
        <v>0</v>
      </c>
      <c r="AZ58" s="15">
        <f>SUM(AG58,AO58,AV58)</f>
        <v>0</v>
      </c>
      <c r="BA58" s="78" t="e">
        <f t="shared" si="81"/>
        <v>#DIV/0!</v>
      </c>
      <c r="BD58" s="1"/>
      <c r="BF58" s="15">
        <f t="shared" si="82"/>
        <v>0</v>
      </c>
      <c r="BG58" s="15">
        <f t="shared" si="92"/>
        <v>0</v>
      </c>
      <c r="BH58" s="15">
        <f t="shared" si="93"/>
        <v>0</v>
      </c>
      <c r="BN58" s="15">
        <f t="shared" si="83"/>
        <v>0</v>
      </c>
      <c r="BO58" s="15">
        <f t="shared" si="109"/>
        <v>0</v>
      </c>
      <c r="BP58" s="15">
        <f t="shared" si="94"/>
        <v>0</v>
      </c>
      <c r="BU58" s="15">
        <f t="shared" si="84"/>
        <v>0</v>
      </c>
      <c r="BV58" s="15">
        <f t="shared" si="95"/>
        <v>0</v>
      </c>
      <c r="BW58" s="15">
        <f t="shared" si="101"/>
        <v>0</v>
      </c>
      <c r="BX58" s="15">
        <f t="shared" si="110"/>
        <v>0</v>
      </c>
      <c r="BY58" s="15">
        <f t="shared" si="111"/>
        <v>0</v>
      </c>
      <c r="BZ58" s="78" t="e">
        <f t="shared" si="102"/>
        <v>#DIV/0!</v>
      </c>
      <c r="CA58" s="78"/>
      <c r="CG58" s="15">
        <f>COUNTIF(CB58:CF58,"PR")</f>
        <v>0</v>
      </c>
      <c r="CH58" s="15">
        <f>COUNTIF(CB58:CF58,"AB")</f>
        <v>0</v>
      </c>
      <c r="CI58" s="15">
        <f t="shared" si="96"/>
        <v>0</v>
      </c>
      <c r="CN58" s="15">
        <f>COUNTIF(CJ58:CM58,"PR")</f>
        <v>0</v>
      </c>
      <c r="CO58" s="15">
        <f>COUNTIF(CJ58:CM58,"AB")</f>
        <v>0</v>
      </c>
      <c r="CP58" s="15">
        <f t="shared" si="97"/>
        <v>0</v>
      </c>
      <c r="CU58" s="15">
        <f t="shared" si="86"/>
        <v>0</v>
      </c>
      <c r="CV58" s="15">
        <f t="shared" si="103"/>
        <v>0</v>
      </c>
      <c r="CW58" s="15">
        <f t="shared" si="104"/>
        <v>0</v>
      </c>
      <c r="CX58" s="15">
        <f>CG58+CN58+CU58</f>
        <v>0</v>
      </c>
      <c r="CY58" s="15" t="e">
        <f>SUM(CE58,#REF!,CS58)</f>
        <v>#REF!</v>
      </c>
      <c r="CZ58" s="78" t="e">
        <f t="shared" si="105"/>
        <v>#REF!</v>
      </c>
      <c r="DA58" s="78"/>
    </row>
    <row r="59" spans="1:105">
      <c r="A59" s="91"/>
      <c r="B59" s="14"/>
      <c r="H59" s="15">
        <f t="shared" si="100"/>
        <v>0</v>
      </c>
      <c r="I59" s="18">
        <f t="shared" si="112"/>
        <v>0</v>
      </c>
      <c r="J59" s="15">
        <f t="shared" si="113"/>
        <v>0</v>
      </c>
      <c r="O59" s="15">
        <f t="shared" si="77"/>
        <v>0</v>
      </c>
      <c r="P59" s="18">
        <f t="shared" si="114"/>
        <v>0</v>
      </c>
      <c r="Q59" s="15">
        <f t="shared" si="115"/>
        <v>0</v>
      </c>
      <c r="V59" s="15">
        <f t="shared" si="106"/>
        <v>0</v>
      </c>
      <c r="W59" s="15">
        <f t="shared" si="107"/>
        <v>0</v>
      </c>
      <c r="X59" s="15">
        <f t="shared" si="99"/>
        <v>0</v>
      </c>
      <c r="Y59" s="15">
        <f>J59+Q59+X59</f>
        <v>0</v>
      </c>
      <c r="Z59" s="15">
        <f>SUM(H59,O59,V59)</f>
        <v>0</v>
      </c>
      <c r="AA59" s="78" t="e">
        <f t="shared" si="78"/>
        <v>#DIV/0!</v>
      </c>
      <c r="AB59" s="78"/>
      <c r="AG59" s="15">
        <f t="shared" si="79"/>
        <v>0</v>
      </c>
      <c r="AH59" s="15">
        <f t="shared" si="88"/>
        <v>0</v>
      </c>
      <c r="AI59" s="15">
        <f t="shared" si="89"/>
        <v>0</v>
      </c>
      <c r="AO59" s="15">
        <f t="shared" si="80"/>
        <v>0</v>
      </c>
      <c r="AP59" s="15">
        <f t="shared" si="90"/>
        <v>0</v>
      </c>
      <c r="AQ59" s="15">
        <f t="shared" si="91"/>
        <v>0</v>
      </c>
      <c r="AV59" s="15">
        <f>COUNTIF(AR59:AU59,"PR")</f>
        <v>0</v>
      </c>
      <c r="AW59" s="15">
        <f t="shared" si="108"/>
        <v>0</v>
      </c>
      <c r="AX59" s="15">
        <f t="shared" si="98"/>
        <v>0</v>
      </c>
      <c r="AY59" s="15">
        <f>AI59+AQ59+AX59</f>
        <v>0</v>
      </c>
      <c r="AZ59" s="15">
        <f>SUM(AG59,AO59,AV59)</f>
        <v>0</v>
      </c>
      <c r="BA59" s="78" t="e">
        <f t="shared" si="81"/>
        <v>#DIV/0!</v>
      </c>
      <c r="BD59" s="1"/>
      <c r="BF59" s="15">
        <f t="shared" si="82"/>
        <v>0</v>
      </c>
      <c r="BG59" s="15">
        <f t="shared" si="92"/>
        <v>0</v>
      </c>
      <c r="BH59" s="15">
        <f t="shared" si="93"/>
        <v>0</v>
      </c>
      <c r="BN59" s="15">
        <f t="shared" si="83"/>
        <v>0</v>
      </c>
      <c r="BO59" s="15">
        <f t="shared" si="109"/>
        <v>0</v>
      </c>
      <c r="BP59" s="15">
        <f t="shared" si="94"/>
        <v>0</v>
      </c>
      <c r="BU59" s="15">
        <f t="shared" si="84"/>
        <v>0</v>
      </c>
      <c r="BV59" s="15">
        <f t="shared" si="95"/>
        <v>0</v>
      </c>
      <c r="BW59" s="15">
        <f t="shared" si="101"/>
        <v>0</v>
      </c>
      <c r="BX59" s="15">
        <f t="shared" si="110"/>
        <v>0</v>
      </c>
      <c r="BY59" s="15">
        <f t="shared" si="111"/>
        <v>0</v>
      </c>
      <c r="BZ59" s="78" t="e">
        <f t="shared" si="102"/>
        <v>#DIV/0!</v>
      </c>
      <c r="CA59" s="78"/>
      <c r="CG59" s="15">
        <f>COUNTIF(CB59:CF59,"PR")</f>
        <v>0</v>
      </c>
      <c r="CH59" s="15">
        <f>COUNTIF(CB59:CF59,"AB")</f>
        <v>0</v>
      </c>
      <c r="CI59" s="15">
        <f t="shared" si="96"/>
        <v>0</v>
      </c>
      <c r="CN59" s="15">
        <f>COUNTIF(CJ59:CM59,"PR")</f>
        <v>0</v>
      </c>
      <c r="CO59" s="15">
        <f>COUNTIF(CJ59:CM59,"AB")</f>
        <v>0</v>
      </c>
      <c r="CP59" s="15">
        <f t="shared" si="97"/>
        <v>0</v>
      </c>
      <c r="CU59" s="15">
        <f t="shared" si="86"/>
        <v>0</v>
      </c>
      <c r="CV59" s="15">
        <f t="shared" si="103"/>
        <v>0</v>
      </c>
      <c r="CW59" s="15">
        <f t="shared" si="104"/>
        <v>0</v>
      </c>
      <c r="CX59" s="15">
        <f>CG59+CN59+CU59</f>
        <v>0</v>
      </c>
      <c r="CY59" s="15" t="e">
        <f>SUM(CE59,#REF!,CS59)</f>
        <v>#REF!</v>
      </c>
      <c r="CZ59" s="78" t="e">
        <f t="shared" si="105"/>
        <v>#REF!</v>
      </c>
      <c r="DA59" s="78"/>
    </row>
    <row r="60" spans="1:105">
      <c r="A60" s="91"/>
      <c r="B60" s="14"/>
      <c r="H60" s="15">
        <f t="shared" si="100"/>
        <v>0</v>
      </c>
      <c r="I60" s="18">
        <f t="shared" si="112"/>
        <v>0</v>
      </c>
      <c r="J60" s="15">
        <f t="shared" si="113"/>
        <v>0</v>
      </c>
      <c r="O60" s="15">
        <f t="shared" si="77"/>
        <v>0</v>
      </c>
      <c r="P60" s="18">
        <f t="shared" si="114"/>
        <v>0</v>
      </c>
      <c r="Q60" s="15">
        <f t="shared" si="115"/>
        <v>0</v>
      </c>
      <c r="V60" s="15">
        <f t="shared" si="106"/>
        <v>0</v>
      </c>
      <c r="W60" s="15">
        <f t="shared" si="107"/>
        <v>0</v>
      </c>
      <c r="X60" s="15">
        <f t="shared" si="99"/>
        <v>0</v>
      </c>
      <c r="Y60" s="15">
        <f>J60+Q60+X60</f>
        <v>0</v>
      </c>
      <c r="Z60" s="15">
        <f>SUM(H60,O60,V60)</f>
        <v>0</v>
      </c>
      <c r="AA60" s="78" t="e">
        <f t="shared" si="78"/>
        <v>#DIV/0!</v>
      </c>
      <c r="AB60" s="78"/>
      <c r="AG60" s="15">
        <f t="shared" si="79"/>
        <v>0</v>
      </c>
      <c r="AH60" s="15">
        <f t="shared" si="88"/>
        <v>0</v>
      </c>
      <c r="AI60" s="15">
        <f t="shared" si="89"/>
        <v>0</v>
      </c>
      <c r="AO60" s="15">
        <f t="shared" si="80"/>
        <v>0</v>
      </c>
      <c r="AP60" s="15">
        <f t="shared" si="90"/>
        <v>0</v>
      </c>
      <c r="AQ60" s="15">
        <f t="shared" si="91"/>
        <v>0</v>
      </c>
      <c r="AV60" s="15">
        <f>COUNTIF(AR60:AU60,"PR")</f>
        <v>0</v>
      </c>
      <c r="AW60" s="15">
        <f t="shared" si="108"/>
        <v>0</v>
      </c>
      <c r="AX60" s="15">
        <f t="shared" si="98"/>
        <v>0</v>
      </c>
      <c r="AY60" s="15">
        <f>AI60+AQ60+AX60</f>
        <v>0</v>
      </c>
      <c r="AZ60" s="15">
        <f>SUM(AG60,AO60,AV60)</f>
        <v>0</v>
      </c>
      <c r="BA60" s="78" t="e">
        <f t="shared" si="81"/>
        <v>#DIV/0!</v>
      </c>
      <c r="BD60" s="1"/>
      <c r="BF60" s="15">
        <f t="shared" si="82"/>
        <v>0</v>
      </c>
      <c r="BG60" s="15">
        <f t="shared" si="92"/>
        <v>0</v>
      </c>
      <c r="BH60" s="15">
        <f t="shared" si="93"/>
        <v>0</v>
      </c>
      <c r="BN60" s="15">
        <f t="shared" si="83"/>
        <v>0</v>
      </c>
      <c r="BO60" s="15">
        <f t="shared" si="109"/>
        <v>0</v>
      </c>
      <c r="BP60" s="15">
        <f t="shared" si="94"/>
        <v>0</v>
      </c>
      <c r="BU60" s="15">
        <f t="shared" si="84"/>
        <v>0</v>
      </c>
      <c r="BV60" s="15">
        <f t="shared" si="95"/>
        <v>0</v>
      </c>
      <c r="BW60" s="15">
        <f t="shared" si="101"/>
        <v>0</v>
      </c>
      <c r="BX60" s="15">
        <f t="shared" si="110"/>
        <v>0</v>
      </c>
      <c r="BY60" s="15">
        <f t="shared" si="111"/>
        <v>0</v>
      </c>
      <c r="BZ60" s="78" t="e">
        <f t="shared" si="102"/>
        <v>#DIV/0!</v>
      </c>
      <c r="CA60" s="78"/>
      <c r="CG60" s="15">
        <f>COUNTIF(CB60:CF60,"PR")</f>
        <v>0</v>
      </c>
      <c r="CH60" s="15">
        <f>COUNTIF(CB60:CF60,"AB")</f>
        <v>0</v>
      </c>
      <c r="CI60" s="15">
        <f t="shared" si="96"/>
        <v>0</v>
      </c>
      <c r="CN60" s="15">
        <f>COUNTIF(CJ60:CM60,"PR")</f>
        <v>0</v>
      </c>
      <c r="CO60" s="15">
        <f>COUNTIF(CJ60:CM60,"AB")</f>
        <v>0</v>
      </c>
      <c r="CP60" s="15">
        <f t="shared" si="97"/>
        <v>0</v>
      </c>
      <c r="CU60" s="15">
        <f t="shared" si="86"/>
        <v>0</v>
      </c>
      <c r="CV60" s="15">
        <f t="shared" si="103"/>
        <v>0</v>
      </c>
      <c r="CW60" s="15">
        <f t="shared" si="104"/>
        <v>0</v>
      </c>
      <c r="CX60" s="15">
        <f>CG60+CN60+CU60</f>
        <v>0</v>
      </c>
      <c r="CY60" s="15" t="e">
        <f>SUM(CE60,#REF!,CS60)</f>
        <v>#REF!</v>
      </c>
      <c r="CZ60" s="78" t="e">
        <f t="shared" si="105"/>
        <v>#REF!</v>
      </c>
      <c r="DA60" s="78"/>
    </row>
    <row r="61" spans="1:105">
      <c r="A61" s="91"/>
      <c r="B61" s="14"/>
      <c r="H61" s="15">
        <f t="shared" si="100"/>
        <v>0</v>
      </c>
      <c r="I61" s="18">
        <f t="shared" si="112"/>
        <v>0</v>
      </c>
      <c r="J61" s="15">
        <f t="shared" si="113"/>
        <v>0</v>
      </c>
      <c r="O61" s="15">
        <f t="shared" si="77"/>
        <v>0</v>
      </c>
      <c r="P61" s="18">
        <f t="shared" si="114"/>
        <v>0</v>
      </c>
      <c r="Q61" s="15">
        <f t="shared" si="115"/>
        <v>0</v>
      </c>
      <c r="V61" s="15">
        <f t="shared" si="106"/>
        <v>0</v>
      </c>
      <c r="W61" s="15">
        <f t="shared" si="107"/>
        <v>0</v>
      </c>
      <c r="X61" s="15">
        <f t="shared" si="99"/>
        <v>0</v>
      </c>
      <c r="Y61" s="15">
        <f>J61+Q61+X61</f>
        <v>0</v>
      </c>
      <c r="Z61" s="15">
        <f>SUM(H61,O61,V61)</f>
        <v>0</v>
      </c>
      <c r="AA61" s="78" t="e">
        <f t="shared" si="78"/>
        <v>#DIV/0!</v>
      </c>
      <c r="AB61" s="78"/>
      <c r="AG61" s="15">
        <f t="shared" si="79"/>
        <v>0</v>
      </c>
      <c r="AH61" s="15">
        <f t="shared" si="88"/>
        <v>0</v>
      </c>
      <c r="AI61" s="15">
        <f t="shared" si="89"/>
        <v>0</v>
      </c>
      <c r="AO61" s="15">
        <f t="shared" si="80"/>
        <v>0</v>
      </c>
      <c r="AP61" s="15">
        <f t="shared" si="90"/>
        <v>0</v>
      </c>
      <c r="AQ61" s="15">
        <f t="shared" si="91"/>
        <v>0</v>
      </c>
      <c r="AV61" s="15">
        <f>COUNTIF(AR61:AU61,"PR")</f>
        <v>0</v>
      </c>
      <c r="AW61" s="15">
        <f t="shared" si="108"/>
        <v>0</v>
      </c>
      <c r="AX61" s="15">
        <f t="shared" si="98"/>
        <v>0</v>
      </c>
      <c r="AY61" s="15">
        <f>AI61+AQ61+AX61</f>
        <v>0</v>
      </c>
      <c r="AZ61" s="15">
        <f>SUM(AG61,AO61,AV61)</f>
        <v>0</v>
      </c>
      <c r="BA61" s="78" t="e">
        <f t="shared" si="81"/>
        <v>#DIV/0!</v>
      </c>
      <c r="BD61" s="1"/>
      <c r="BF61" s="15">
        <f t="shared" si="82"/>
        <v>0</v>
      </c>
      <c r="BG61" s="15">
        <f t="shared" si="92"/>
        <v>0</v>
      </c>
      <c r="BH61" s="15">
        <f t="shared" si="93"/>
        <v>0</v>
      </c>
      <c r="BN61" s="15">
        <f t="shared" si="83"/>
        <v>0</v>
      </c>
      <c r="BO61" s="15">
        <f t="shared" si="109"/>
        <v>0</v>
      </c>
      <c r="BP61" s="15">
        <f t="shared" si="94"/>
        <v>0</v>
      </c>
      <c r="BU61" s="15">
        <f t="shared" si="84"/>
        <v>0</v>
      </c>
      <c r="BV61" s="15">
        <f t="shared" si="95"/>
        <v>0</v>
      </c>
      <c r="BW61" s="15">
        <f t="shared" si="101"/>
        <v>0</v>
      </c>
      <c r="BX61" s="15">
        <f t="shared" si="110"/>
        <v>0</v>
      </c>
      <c r="BY61" s="15">
        <f t="shared" si="111"/>
        <v>0</v>
      </c>
      <c r="BZ61" s="78" t="e">
        <f t="shared" si="102"/>
        <v>#DIV/0!</v>
      </c>
      <c r="CA61" s="78"/>
      <c r="CG61" s="15">
        <f>COUNTIF(CB61:CF61,"PR")</f>
        <v>0</v>
      </c>
      <c r="CH61" s="15">
        <f>COUNTIF(CB61:CF61,"AB")</f>
        <v>0</v>
      </c>
      <c r="CI61" s="15">
        <f t="shared" si="96"/>
        <v>0</v>
      </c>
      <c r="CN61" s="15">
        <f>COUNTIF(CJ61:CM61,"PR")</f>
        <v>0</v>
      </c>
      <c r="CO61" s="15">
        <f>COUNTIF(CJ61:CM61,"AB")</f>
        <v>0</v>
      </c>
      <c r="CP61" s="15">
        <f t="shared" si="97"/>
        <v>0</v>
      </c>
      <c r="CU61" s="15">
        <f t="shared" si="86"/>
        <v>0</v>
      </c>
      <c r="CV61" s="15">
        <f t="shared" si="103"/>
        <v>0</v>
      </c>
      <c r="CW61" s="15">
        <f t="shared" si="104"/>
        <v>0</v>
      </c>
      <c r="CX61" s="15">
        <f>CG61+CN61+CU61</f>
        <v>0</v>
      </c>
      <c r="CY61" s="15" t="e">
        <f>SUM(CE61,#REF!,CS61)</f>
        <v>#REF!</v>
      </c>
      <c r="CZ61" s="78" t="e">
        <f t="shared" si="105"/>
        <v>#REF!</v>
      </c>
      <c r="DA61" s="78"/>
    </row>
    <row r="62" spans="1:105">
      <c r="A62" s="91"/>
      <c r="B62" s="14"/>
      <c r="H62" s="15">
        <f t="shared" si="100"/>
        <v>0</v>
      </c>
      <c r="I62" s="18">
        <f t="shared" si="112"/>
        <v>0</v>
      </c>
      <c r="J62" s="15">
        <f t="shared" si="113"/>
        <v>0</v>
      </c>
      <c r="O62" s="15">
        <f t="shared" si="77"/>
        <v>0</v>
      </c>
      <c r="P62" s="18">
        <f t="shared" si="114"/>
        <v>0</v>
      </c>
      <c r="Q62" s="15">
        <f t="shared" si="115"/>
        <v>0</v>
      </c>
      <c r="V62" s="15">
        <f t="shared" si="106"/>
        <v>0</v>
      </c>
      <c r="W62" s="15">
        <f t="shared" si="107"/>
        <v>0</v>
      </c>
      <c r="X62" s="15">
        <f t="shared" si="99"/>
        <v>0</v>
      </c>
      <c r="Y62" s="15">
        <f>J62+Q62+X62</f>
        <v>0</v>
      </c>
      <c r="Z62" s="15">
        <f>SUM(H62,O62,V62)</f>
        <v>0</v>
      </c>
      <c r="AA62" s="78" t="e">
        <f t="shared" si="78"/>
        <v>#DIV/0!</v>
      </c>
      <c r="AB62" s="78"/>
      <c r="AG62" s="15">
        <f t="shared" si="79"/>
        <v>0</v>
      </c>
      <c r="AH62" s="15">
        <f t="shared" si="88"/>
        <v>0</v>
      </c>
      <c r="AI62" s="15">
        <f t="shared" si="89"/>
        <v>0</v>
      </c>
      <c r="AO62" s="15">
        <f t="shared" si="80"/>
        <v>0</v>
      </c>
      <c r="AP62" s="15">
        <f t="shared" si="90"/>
        <v>0</v>
      </c>
      <c r="AQ62" s="15">
        <f t="shared" si="91"/>
        <v>0</v>
      </c>
      <c r="AV62" s="15">
        <f>COUNTIF(AR62:AU62,"PR")</f>
        <v>0</v>
      </c>
      <c r="AW62" s="15">
        <f t="shared" si="108"/>
        <v>0</v>
      </c>
      <c r="AX62" s="15">
        <f t="shared" si="98"/>
        <v>0</v>
      </c>
      <c r="AY62" s="15">
        <f>AI62+AQ62+AX62</f>
        <v>0</v>
      </c>
      <c r="AZ62" s="15">
        <f>SUM(AG62,AO62,AV62)</f>
        <v>0</v>
      </c>
      <c r="BA62" s="78" t="e">
        <f t="shared" si="81"/>
        <v>#DIV/0!</v>
      </c>
      <c r="BD62" s="1"/>
      <c r="BF62" s="15">
        <f t="shared" si="82"/>
        <v>0</v>
      </c>
      <c r="BG62" s="15">
        <f t="shared" si="92"/>
        <v>0</v>
      </c>
      <c r="BH62" s="15">
        <f t="shared" si="93"/>
        <v>0</v>
      </c>
      <c r="BN62" s="15">
        <f t="shared" si="83"/>
        <v>0</v>
      </c>
      <c r="BO62" s="15">
        <f t="shared" si="109"/>
        <v>0</v>
      </c>
      <c r="BP62" s="15">
        <f t="shared" si="94"/>
        <v>0</v>
      </c>
      <c r="BU62" s="15">
        <f t="shared" si="84"/>
        <v>0</v>
      </c>
      <c r="BV62" s="15">
        <f t="shared" si="95"/>
        <v>0</v>
      </c>
      <c r="BW62" s="15">
        <f t="shared" si="101"/>
        <v>0</v>
      </c>
      <c r="BX62" s="15">
        <f t="shared" si="110"/>
        <v>0</v>
      </c>
      <c r="BY62" s="15">
        <f t="shared" si="111"/>
        <v>0</v>
      </c>
      <c r="BZ62" s="78" t="e">
        <f t="shared" si="102"/>
        <v>#DIV/0!</v>
      </c>
      <c r="CA62" s="78"/>
      <c r="CG62" s="15">
        <f>COUNTIF(CB62:CF62,"PR")</f>
        <v>0</v>
      </c>
      <c r="CH62" s="15">
        <f>COUNTIF(CB62:CF62,"AB")</f>
        <v>0</v>
      </c>
      <c r="CI62" s="15">
        <f t="shared" si="96"/>
        <v>0</v>
      </c>
      <c r="CN62" s="15">
        <f>COUNTIF(CJ62:CM62,"PR")</f>
        <v>0</v>
      </c>
      <c r="CO62" s="15">
        <f>COUNTIF(CJ62:CM62,"AB")</f>
        <v>0</v>
      </c>
      <c r="CP62" s="15">
        <f t="shared" si="97"/>
        <v>0</v>
      </c>
      <c r="CU62" s="15">
        <f t="shared" si="86"/>
        <v>0</v>
      </c>
      <c r="CV62" s="15">
        <f t="shared" si="103"/>
        <v>0</v>
      </c>
      <c r="CW62" s="15">
        <f t="shared" si="104"/>
        <v>0</v>
      </c>
      <c r="CX62" s="15">
        <f>CG62+CN62+CU62</f>
        <v>0</v>
      </c>
      <c r="CY62" s="15" t="e">
        <f>SUM(CE62,#REF!,CS62)</f>
        <v>#REF!</v>
      </c>
      <c r="CZ62" s="78" t="e">
        <f t="shared" si="105"/>
        <v>#REF!</v>
      </c>
      <c r="DA62" s="78"/>
    </row>
    <row r="63" spans="1:105">
      <c r="A63" s="91"/>
      <c r="B63" s="14"/>
      <c r="H63" s="15">
        <f t="shared" si="100"/>
        <v>0</v>
      </c>
      <c r="I63" s="18">
        <f t="shared" si="112"/>
        <v>0</v>
      </c>
      <c r="J63" s="15">
        <f t="shared" si="113"/>
        <v>0</v>
      </c>
      <c r="O63" s="15">
        <f t="shared" si="77"/>
        <v>0</v>
      </c>
      <c r="P63" s="18">
        <f t="shared" si="114"/>
        <v>0</v>
      </c>
      <c r="Q63" s="15">
        <f t="shared" si="115"/>
        <v>0</v>
      </c>
      <c r="V63" s="15">
        <f t="shared" si="106"/>
        <v>0</v>
      </c>
      <c r="W63" s="15">
        <f t="shared" si="107"/>
        <v>0</v>
      </c>
      <c r="X63" s="15">
        <f t="shared" si="99"/>
        <v>0</v>
      </c>
      <c r="Y63" s="15">
        <f>J63+Q63+X63</f>
        <v>0</v>
      </c>
      <c r="Z63" s="15">
        <f>SUM(H63,O63,V63)</f>
        <v>0</v>
      </c>
      <c r="AA63" s="78" t="e">
        <f t="shared" si="78"/>
        <v>#DIV/0!</v>
      </c>
      <c r="AB63" s="78"/>
      <c r="AG63" s="15">
        <f t="shared" si="79"/>
        <v>0</v>
      </c>
      <c r="AH63" s="15">
        <f t="shared" si="88"/>
        <v>0</v>
      </c>
      <c r="AI63" s="15">
        <f t="shared" si="89"/>
        <v>0</v>
      </c>
      <c r="AO63" s="15">
        <f t="shared" si="80"/>
        <v>0</v>
      </c>
      <c r="AP63" s="15">
        <f t="shared" si="90"/>
        <v>0</v>
      </c>
      <c r="AQ63" s="15">
        <f t="shared" si="91"/>
        <v>0</v>
      </c>
      <c r="AV63" s="15">
        <f>COUNTIF(AR63:AU63,"PR")</f>
        <v>0</v>
      </c>
      <c r="AW63" s="15">
        <f t="shared" si="108"/>
        <v>0</v>
      </c>
      <c r="AX63" s="15">
        <f t="shared" si="98"/>
        <v>0</v>
      </c>
      <c r="AY63" s="15">
        <f>AI63+AQ63+AX63</f>
        <v>0</v>
      </c>
      <c r="AZ63" s="15">
        <f>SUM(AG63,AO63,AV63)</f>
        <v>0</v>
      </c>
      <c r="BA63" s="78" t="e">
        <f t="shared" si="81"/>
        <v>#DIV/0!</v>
      </c>
      <c r="BD63" s="1"/>
      <c r="BF63" s="15">
        <f t="shared" si="82"/>
        <v>0</v>
      </c>
      <c r="BG63" s="15">
        <f t="shared" si="92"/>
        <v>0</v>
      </c>
      <c r="BH63" s="15">
        <f t="shared" si="93"/>
        <v>0</v>
      </c>
      <c r="BN63" s="15">
        <f t="shared" si="83"/>
        <v>0</v>
      </c>
      <c r="BO63" s="15">
        <f t="shared" si="109"/>
        <v>0</v>
      </c>
      <c r="BP63" s="15">
        <f t="shared" si="94"/>
        <v>0</v>
      </c>
      <c r="BU63" s="15">
        <f t="shared" si="84"/>
        <v>0</v>
      </c>
      <c r="BV63" s="15">
        <f t="shared" si="95"/>
        <v>0</v>
      </c>
      <c r="BW63" s="15">
        <f t="shared" si="101"/>
        <v>0</v>
      </c>
      <c r="BX63" s="15">
        <f t="shared" si="110"/>
        <v>0</v>
      </c>
      <c r="BY63" s="15">
        <f t="shared" si="111"/>
        <v>0</v>
      </c>
      <c r="BZ63" s="78" t="e">
        <f t="shared" si="102"/>
        <v>#DIV/0!</v>
      </c>
      <c r="CA63" s="78"/>
      <c r="CG63" s="15">
        <f>COUNTIF(CB63:CF63,"PR")</f>
        <v>0</v>
      </c>
      <c r="CH63" s="15">
        <f>COUNTIF(CB63:CF63,"AB")</f>
        <v>0</v>
      </c>
      <c r="CI63" s="15">
        <f t="shared" si="96"/>
        <v>0</v>
      </c>
      <c r="CN63" s="15">
        <f>COUNTIF(CJ63:CM63,"PR")</f>
        <v>0</v>
      </c>
      <c r="CO63" s="15">
        <f>COUNTIF(CJ63:CM63,"AB")</f>
        <v>0</v>
      </c>
      <c r="CP63" s="15">
        <f t="shared" si="97"/>
        <v>0</v>
      </c>
      <c r="CU63" s="15">
        <f t="shared" si="86"/>
        <v>0</v>
      </c>
      <c r="CV63" s="15">
        <f t="shared" si="103"/>
        <v>0</v>
      </c>
      <c r="CW63" s="15">
        <f t="shared" si="104"/>
        <v>0</v>
      </c>
      <c r="CX63" s="15">
        <f>CG63+CN63+CU63</f>
        <v>0</v>
      </c>
      <c r="CY63" s="15" t="e">
        <f>SUM(CE63,#REF!,CS63)</f>
        <v>#REF!</v>
      </c>
      <c r="CZ63" s="78" t="e">
        <f t="shared" si="105"/>
        <v>#REF!</v>
      </c>
      <c r="DA63" s="78"/>
    </row>
    <row r="64" spans="1:105">
      <c r="A64" s="91"/>
      <c r="B64" s="14"/>
      <c r="H64" s="15">
        <f t="shared" si="100"/>
        <v>0</v>
      </c>
      <c r="I64" s="18">
        <f t="shared" si="112"/>
        <v>0</v>
      </c>
      <c r="J64" s="15">
        <f t="shared" si="113"/>
        <v>0</v>
      </c>
      <c r="O64" s="15">
        <f t="shared" si="77"/>
        <v>0</v>
      </c>
      <c r="P64" s="18">
        <f t="shared" si="114"/>
        <v>0</v>
      </c>
      <c r="Q64" s="15">
        <f t="shared" si="115"/>
        <v>0</v>
      </c>
      <c r="V64" s="15">
        <f t="shared" si="106"/>
        <v>0</v>
      </c>
      <c r="W64" s="15">
        <f t="shared" si="107"/>
        <v>0</v>
      </c>
      <c r="X64" s="15">
        <f t="shared" si="99"/>
        <v>0</v>
      </c>
      <c r="Y64" s="15">
        <f>J64+Q64+X64</f>
        <v>0</v>
      </c>
      <c r="Z64" s="15">
        <f>SUM(H64,O64,V64)</f>
        <v>0</v>
      </c>
      <c r="AA64" s="78" t="e">
        <f t="shared" si="78"/>
        <v>#DIV/0!</v>
      </c>
      <c r="AB64" s="78"/>
      <c r="AC64" s="76"/>
      <c r="AD64" s="72"/>
      <c r="AE64" s="72"/>
      <c r="AF64" s="72"/>
      <c r="AG64" s="15">
        <f t="shared" si="79"/>
        <v>0</v>
      </c>
      <c r="AH64" s="15">
        <f t="shared" si="88"/>
        <v>0</v>
      </c>
      <c r="AI64" s="15">
        <f t="shared" si="89"/>
        <v>0</v>
      </c>
      <c r="AJ64" s="76"/>
      <c r="AK64" s="72"/>
      <c r="AL64" s="72"/>
      <c r="AM64" s="72"/>
      <c r="AN64" s="72"/>
      <c r="AO64" s="15">
        <f t="shared" si="80"/>
        <v>0</v>
      </c>
      <c r="AP64" s="15">
        <f t="shared" si="90"/>
        <v>0</v>
      </c>
      <c r="AQ64" s="15">
        <f t="shared" si="91"/>
        <v>0</v>
      </c>
      <c r="AV64" s="15">
        <f>COUNTIF(AR64:AU64,"PR")</f>
        <v>0</v>
      </c>
      <c r="AW64" s="15">
        <f t="shared" si="108"/>
        <v>0</v>
      </c>
      <c r="AX64" s="15">
        <f t="shared" si="98"/>
        <v>0</v>
      </c>
      <c r="AY64" s="15">
        <f>AI64+AQ64+AX64</f>
        <v>0</v>
      </c>
      <c r="AZ64" s="15">
        <f>SUM(AG64,AO64,AV64)</f>
        <v>0</v>
      </c>
      <c r="BA64" s="78" t="e">
        <f t="shared" si="81"/>
        <v>#DIV/0!</v>
      </c>
      <c r="BD64" s="1"/>
      <c r="BF64" s="15">
        <f t="shared" si="82"/>
        <v>0</v>
      </c>
      <c r="BG64" s="15">
        <f t="shared" si="92"/>
        <v>0</v>
      </c>
      <c r="BH64" s="15">
        <f t="shared" si="93"/>
        <v>0</v>
      </c>
      <c r="BN64" s="15">
        <f t="shared" si="83"/>
        <v>0</v>
      </c>
      <c r="BO64" s="15">
        <f t="shared" si="109"/>
        <v>0</v>
      </c>
      <c r="BP64" s="15">
        <f t="shared" si="94"/>
        <v>0</v>
      </c>
      <c r="BU64" s="15">
        <f t="shared" si="84"/>
        <v>0</v>
      </c>
      <c r="BV64" s="15">
        <f t="shared" si="95"/>
        <v>0</v>
      </c>
      <c r="BW64" s="15">
        <f t="shared" si="101"/>
        <v>0</v>
      </c>
      <c r="BX64" s="15">
        <f t="shared" si="110"/>
        <v>0</v>
      </c>
      <c r="BY64" s="15">
        <f t="shared" si="111"/>
        <v>0</v>
      </c>
      <c r="BZ64" s="78" t="e">
        <f t="shared" si="102"/>
        <v>#DIV/0!</v>
      </c>
      <c r="CA64" s="78"/>
      <c r="CG64" s="15">
        <f>COUNTIF(CB64:CF64,"PR")</f>
        <v>0</v>
      </c>
      <c r="CH64" s="15">
        <f>COUNTIF(CB64:CF64,"AB")</f>
        <v>0</v>
      </c>
      <c r="CI64" s="15">
        <f t="shared" si="96"/>
        <v>0</v>
      </c>
      <c r="CN64" s="15">
        <f>COUNTIF(CJ64:CM64,"PR")</f>
        <v>0</v>
      </c>
      <c r="CO64" s="15">
        <f>COUNTIF(CJ64:CM64,"AB")</f>
        <v>0</v>
      </c>
      <c r="CP64" s="15">
        <f t="shared" si="97"/>
        <v>0</v>
      </c>
      <c r="CU64" s="15">
        <f t="shared" si="86"/>
        <v>0</v>
      </c>
      <c r="CV64" s="15">
        <f t="shared" si="103"/>
        <v>0</v>
      </c>
      <c r="CW64" s="15">
        <f t="shared" si="104"/>
        <v>0</v>
      </c>
      <c r="CX64" s="15">
        <f>CG64+CN64+CU64</f>
        <v>0</v>
      </c>
      <c r="CY64" s="15" t="e">
        <f>SUM(CE64,#REF!,CS64)</f>
        <v>#REF!</v>
      </c>
      <c r="CZ64" s="78" t="e">
        <f t="shared" si="105"/>
        <v>#REF!</v>
      </c>
      <c r="DA64" s="78"/>
    </row>
    <row r="65" spans="1:105">
      <c r="A65" s="91"/>
      <c r="B65" s="14"/>
      <c r="H65" s="15">
        <f t="shared" si="100"/>
        <v>0</v>
      </c>
      <c r="I65" s="18">
        <f t="shared" si="112"/>
        <v>0</v>
      </c>
      <c r="J65" s="15">
        <f t="shared" si="113"/>
        <v>0</v>
      </c>
      <c r="O65" s="15">
        <f t="shared" si="77"/>
        <v>0</v>
      </c>
      <c r="P65" s="18">
        <f t="shared" si="114"/>
        <v>0</v>
      </c>
      <c r="Q65" s="15">
        <f t="shared" si="115"/>
        <v>0</v>
      </c>
      <c r="V65" s="15">
        <f t="shared" si="106"/>
        <v>0</v>
      </c>
      <c r="W65" s="15">
        <f t="shared" si="107"/>
        <v>0</v>
      </c>
      <c r="X65" s="15">
        <f t="shared" si="99"/>
        <v>0</v>
      </c>
      <c r="Y65" s="15">
        <f>J65+Q65+X65</f>
        <v>0</v>
      </c>
      <c r="Z65" s="15">
        <f>SUM(H65,O65,V65)</f>
        <v>0</v>
      </c>
      <c r="AA65" s="78" t="e">
        <f t="shared" si="78"/>
        <v>#DIV/0!</v>
      </c>
      <c r="AB65" s="78"/>
      <c r="AG65" s="15">
        <f t="shared" si="79"/>
        <v>0</v>
      </c>
      <c r="AH65" s="15">
        <f t="shared" si="88"/>
        <v>0</v>
      </c>
      <c r="AI65" s="15">
        <f t="shared" si="89"/>
        <v>0</v>
      </c>
      <c r="AO65" s="15">
        <f t="shared" si="80"/>
        <v>0</v>
      </c>
      <c r="AP65" s="15">
        <f t="shared" si="90"/>
        <v>0</v>
      </c>
      <c r="AQ65" s="15">
        <f t="shared" si="91"/>
        <v>0</v>
      </c>
      <c r="AV65" s="15">
        <f>COUNTIF(AR65:AU65,"PR")</f>
        <v>0</v>
      </c>
      <c r="AW65" s="15">
        <f t="shared" si="108"/>
        <v>0</v>
      </c>
      <c r="AX65" s="15">
        <f t="shared" si="98"/>
        <v>0</v>
      </c>
      <c r="AY65" s="15">
        <f>AI65+AQ65+AX65</f>
        <v>0</v>
      </c>
      <c r="AZ65" s="15">
        <f>SUM(AG65,AO65,AV65)</f>
        <v>0</v>
      </c>
      <c r="BA65" s="78" t="e">
        <f t="shared" si="81"/>
        <v>#DIV/0!</v>
      </c>
      <c r="BD65" s="1"/>
      <c r="BF65" s="15">
        <f t="shared" si="82"/>
        <v>0</v>
      </c>
      <c r="BG65" s="15">
        <f t="shared" si="92"/>
        <v>0</v>
      </c>
      <c r="BH65" s="15">
        <f t="shared" si="93"/>
        <v>0</v>
      </c>
      <c r="BN65" s="15">
        <f t="shared" si="83"/>
        <v>0</v>
      </c>
      <c r="BO65" s="15">
        <f t="shared" si="109"/>
        <v>0</v>
      </c>
      <c r="BP65" s="15">
        <f t="shared" si="94"/>
        <v>0</v>
      </c>
      <c r="BU65" s="15">
        <f t="shared" si="84"/>
        <v>0</v>
      </c>
      <c r="BV65" s="15">
        <f t="shared" si="95"/>
        <v>0</v>
      </c>
      <c r="BW65" s="15">
        <f t="shared" si="101"/>
        <v>0</v>
      </c>
      <c r="BX65" s="15">
        <f t="shared" si="110"/>
        <v>0</v>
      </c>
      <c r="BY65" s="15">
        <f t="shared" si="111"/>
        <v>0</v>
      </c>
      <c r="BZ65" s="78" t="e">
        <f t="shared" si="102"/>
        <v>#DIV/0!</v>
      </c>
      <c r="CA65" s="78"/>
      <c r="CG65" s="15">
        <f>COUNTIF(CB65:CF65,"PR")</f>
        <v>0</v>
      </c>
      <c r="CH65" s="15">
        <f>COUNTIF(CB65:CF65,"AB")</f>
        <v>0</v>
      </c>
      <c r="CI65" s="15">
        <f t="shared" si="96"/>
        <v>0</v>
      </c>
      <c r="CN65" s="15">
        <f>COUNTIF(CJ65:CM65,"PR")</f>
        <v>0</v>
      </c>
      <c r="CO65" s="15">
        <f>COUNTIF(CJ65:CM65,"AB")</f>
        <v>0</v>
      </c>
      <c r="CP65" s="15">
        <f t="shared" si="97"/>
        <v>0</v>
      </c>
      <c r="CU65" s="15">
        <f t="shared" si="86"/>
        <v>0</v>
      </c>
      <c r="CV65" s="15">
        <f t="shared" si="103"/>
        <v>0</v>
      </c>
      <c r="CW65" s="15">
        <f t="shared" si="104"/>
        <v>0</v>
      </c>
      <c r="CX65" s="15">
        <f>CG65+CN65+CU65</f>
        <v>0</v>
      </c>
      <c r="CY65" s="15" t="e">
        <f>SUM(CE65,#REF!,CS65)</f>
        <v>#REF!</v>
      </c>
      <c r="CZ65" s="78" t="e">
        <f t="shared" si="105"/>
        <v>#REF!</v>
      </c>
      <c r="DA65" s="78"/>
    </row>
    <row r="66" spans="1:105">
      <c r="A66" s="91"/>
      <c r="B66" s="14"/>
      <c r="H66" s="15">
        <f t="shared" si="100"/>
        <v>0</v>
      </c>
      <c r="I66" s="18">
        <f t="shared" si="112"/>
        <v>0</v>
      </c>
      <c r="J66" s="15">
        <f t="shared" si="113"/>
        <v>0</v>
      </c>
      <c r="O66" s="15">
        <f t="shared" si="77"/>
        <v>0</v>
      </c>
      <c r="P66" s="18">
        <f t="shared" si="114"/>
        <v>0</v>
      </c>
      <c r="Q66" s="15">
        <f t="shared" si="115"/>
        <v>0</v>
      </c>
      <c r="V66" s="15">
        <f t="shared" si="106"/>
        <v>0</v>
      </c>
      <c r="W66" s="15">
        <f t="shared" si="107"/>
        <v>0</v>
      </c>
      <c r="X66" s="15">
        <f t="shared" si="99"/>
        <v>0</v>
      </c>
      <c r="Y66" s="15">
        <f>J66+Q66+X66</f>
        <v>0</v>
      </c>
      <c r="Z66" s="15">
        <f>SUM(H66,O66,V66)</f>
        <v>0</v>
      </c>
      <c r="AA66" s="78" t="e">
        <f t="shared" si="78"/>
        <v>#DIV/0!</v>
      </c>
      <c r="AB66" s="78"/>
      <c r="AG66" s="15">
        <f t="shared" si="79"/>
        <v>0</v>
      </c>
      <c r="AH66" s="15">
        <f t="shared" si="88"/>
        <v>0</v>
      </c>
      <c r="AI66" s="15">
        <f t="shared" si="89"/>
        <v>0</v>
      </c>
      <c r="AO66" s="15">
        <f t="shared" si="80"/>
        <v>0</v>
      </c>
      <c r="AP66" s="15">
        <f t="shared" si="90"/>
        <v>0</v>
      </c>
      <c r="AQ66" s="15">
        <f t="shared" si="91"/>
        <v>0</v>
      </c>
      <c r="AV66" s="15">
        <f>COUNTIF(AR66:AU66,"PR")</f>
        <v>0</v>
      </c>
      <c r="AW66" s="15">
        <f t="shared" si="108"/>
        <v>0</v>
      </c>
      <c r="AX66" s="15">
        <f t="shared" si="98"/>
        <v>0</v>
      </c>
      <c r="AY66" s="15">
        <f>AI66+AQ66+AX66</f>
        <v>0</v>
      </c>
      <c r="AZ66" s="15">
        <f>SUM(AG66,AO66,AV66)</f>
        <v>0</v>
      </c>
      <c r="BA66" s="78" t="e">
        <f t="shared" si="81"/>
        <v>#DIV/0!</v>
      </c>
      <c r="BD66" s="1"/>
      <c r="BF66" s="15">
        <f t="shared" si="82"/>
        <v>0</v>
      </c>
      <c r="BG66" s="15">
        <f t="shared" si="92"/>
        <v>0</v>
      </c>
      <c r="BH66" s="15">
        <f t="shared" si="93"/>
        <v>0</v>
      </c>
      <c r="BN66" s="15">
        <f t="shared" si="83"/>
        <v>0</v>
      </c>
      <c r="BO66" s="15">
        <f t="shared" si="109"/>
        <v>0</v>
      </c>
      <c r="BP66" s="15">
        <f t="shared" si="94"/>
        <v>0</v>
      </c>
      <c r="BU66" s="15">
        <f t="shared" si="84"/>
        <v>0</v>
      </c>
      <c r="BV66" s="15">
        <f t="shared" si="95"/>
        <v>0</v>
      </c>
      <c r="BW66" s="15">
        <f t="shared" si="101"/>
        <v>0</v>
      </c>
      <c r="BX66" s="15">
        <f t="shared" si="110"/>
        <v>0</v>
      </c>
      <c r="BY66" s="15">
        <f t="shared" si="111"/>
        <v>0</v>
      </c>
      <c r="BZ66" s="78" t="e">
        <f t="shared" si="102"/>
        <v>#DIV/0!</v>
      </c>
      <c r="CA66" s="78"/>
      <c r="CG66" s="15">
        <f>COUNTIF(CB66:CF66,"PR")</f>
        <v>0</v>
      </c>
      <c r="CH66" s="15">
        <f>COUNTIF(CB66:CF66,"AB")</f>
        <v>0</v>
      </c>
      <c r="CI66" s="15">
        <f t="shared" si="96"/>
        <v>0</v>
      </c>
      <c r="CN66" s="15">
        <f>COUNTIF(CJ66:CM66,"PR")</f>
        <v>0</v>
      </c>
      <c r="CO66" s="15">
        <f>COUNTIF(CJ66:CM66,"AB")</f>
        <v>0</v>
      </c>
      <c r="CP66" s="15">
        <f t="shared" si="97"/>
        <v>0</v>
      </c>
      <c r="CU66" s="15">
        <f t="shared" si="86"/>
        <v>0</v>
      </c>
      <c r="CV66" s="15">
        <f t="shared" si="103"/>
        <v>0</v>
      </c>
      <c r="CW66" s="15">
        <f t="shared" si="104"/>
        <v>0</v>
      </c>
      <c r="CX66" s="15">
        <f>CG66+CN66+CU66</f>
        <v>0</v>
      </c>
      <c r="CY66" s="15" t="e">
        <f>SUM(CE66,#REF!,CS66)</f>
        <v>#REF!</v>
      </c>
      <c r="CZ66" s="78" t="e">
        <f t="shared" si="105"/>
        <v>#REF!</v>
      </c>
      <c r="DA66" s="78"/>
    </row>
    <row r="67" spans="1:105">
      <c r="A67" s="91"/>
      <c r="B67" s="14"/>
      <c r="H67" s="15">
        <f t="shared" si="100"/>
        <v>0</v>
      </c>
      <c r="I67" s="18">
        <f t="shared" si="112"/>
        <v>0</v>
      </c>
      <c r="J67" s="15">
        <f t="shared" si="113"/>
        <v>0</v>
      </c>
      <c r="O67" s="15">
        <f t="shared" si="77"/>
        <v>0</v>
      </c>
      <c r="P67" s="18">
        <f t="shared" si="114"/>
        <v>0</v>
      </c>
      <c r="Q67" s="15">
        <f t="shared" si="115"/>
        <v>0</v>
      </c>
      <c r="V67" s="15">
        <f t="shared" si="106"/>
        <v>0</v>
      </c>
      <c r="W67" s="15">
        <f t="shared" si="107"/>
        <v>0</v>
      </c>
      <c r="X67" s="15">
        <f t="shared" si="99"/>
        <v>0</v>
      </c>
      <c r="Y67" s="15">
        <f>J67+Q67+X67</f>
        <v>0</v>
      </c>
      <c r="Z67" s="15">
        <f>SUM(H67,O67,V67)</f>
        <v>0</v>
      </c>
      <c r="AA67" s="78" t="e">
        <f t="shared" si="78"/>
        <v>#DIV/0!</v>
      </c>
      <c r="AB67" s="78"/>
      <c r="AG67" s="15">
        <f t="shared" si="79"/>
        <v>0</v>
      </c>
      <c r="AH67" s="15">
        <f t="shared" si="88"/>
        <v>0</v>
      </c>
      <c r="AI67" s="15">
        <f t="shared" si="89"/>
        <v>0</v>
      </c>
      <c r="AO67" s="15">
        <f t="shared" si="80"/>
        <v>0</v>
      </c>
      <c r="AP67" s="15">
        <f t="shared" si="90"/>
        <v>0</v>
      </c>
      <c r="AQ67" s="15">
        <f t="shared" si="91"/>
        <v>0</v>
      </c>
      <c r="AV67" s="15">
        <f>COUNTIF(AR67:AU67,"PR")</f>
        <v>0</v>
      </c>
      <c r="AW67" s="15">
        <f t="shared" si="108"/>
        <v>0</v>
      </c>
      <c r="AX67" s="15">
        <f t="shared" si="98"/>
        <v>0</v>
      </c>
      <c r="AY67" s="15">
        <f>AI67+AQ67+AX67</f>
        <v>0</v>
      </c>
      <c r="AZ67" s="15">
        <f>SUM(AG67,AO67,AV67)</f>
        <v>0</v>
      </c>
      <c r="BA67" s="78" t="e">
        <f t="shared" si="81"/>
        <v>#DIV/0!</v>
      </c>
      <c r="BD67" s="1"/>
      <c r="BF67" s="15">
        <f t="shared" si="82"/>
        <v>0</v>
      </c>
      <c r="BG67" s="15">
        <f t="shared" si="92"/>
        <v>0</v>
      </c>
      <c r="BH67" s="15">
        <f t="shared" si="93"/>
        <v>0</v>
      </c>
      <c r="BN67" s="15">
        <f t="shared" si="83"/>
        <v>0</v>
      </c>
      <c r="BO67" s="15">
        <f t="shared" si="109"/>
        <v>0</v>
      </c>
      <c r="BP67" s="15">
        <f t="shared" si="94"/>
        <v>0</v>
      </c>
      <c r="BU67" s="15">
        <f t="shared" si="84"/>
        <v>0</v>
      </c>
      <c r="BV67" s="15">
        <f t="shared" si="95"/>
        <v>0</v>
      </c>
      <c r="BW67" s="15">
        <f t="shared" si="101"/>
        <v>0</v>
      </c>
      <c r="BX67" s="15">
        <f t="shared" si="110"/>
        <v>0</v>
      </c>
      <c r="BY67" s="15">
        <f t="shared" si="111"/>
        <v>0</v>
      </c>
      <c r="BZ67" s="78" t="e">
        <f t="shared" si="102"/>
        <v>#DIV/0!</v>
      </c>
      <c r="CA67" s="78"/>
      <c r="CG67" s="15">
        <f>COUNTIF(CB67:CF67,"PR")</f>
        <v>0</v>
      </c>
      <c r="CH67" s="15">
        <f>COUNTIF(CB67:CF67,"AB")</f>
        <v>0</v>
      </c>
      <c r="CI67" s="15">
        <f t="shared" si="96"/>
        <v>0</v>
      </c>
      <c r="CN67" s="15">
        <f>COUNTIF(CJ67:CM67,"PR")</f>
        <v>0</v>
      </c>
      <c r="CO67" s="15">
        <f>COUNTIF(CJ67:CM67,"AB")</f>
        <v>0</v>
      </c>
      <c r="CP67" s="15">
        <f t="shared" si="97"/>
        <v>0</v>
      </c>
      <c r="CU67" s="15">
        <f t="shared" si="86"/>
        <v>0</v>
      </c>
      <c r="CV67" s="15">
        <f t="shared" si="103"/>
        <v>0</v>
      </c>
      <c r="CW67" s="15">
        <f t="shared" si="104"/>
        <v>0</v>
      </c>
      <c r="CX67" s="15">
        <f>CG67+CN67+CU67</f>
        <v>0</v>
      </c>
      <c r="CY67" s="15" t="e">
        <f>SUM(CE67,#REF!,CS67)</f>
        <v>#REF!</v>
      </c>
      <c r="CZ67" s="78" t="e">
        <f t="shared" si="105"/>
        <v>#REF!</v>
      </c>
      <c r="DA67" s="78"/>
    </row>
    <row r="68" spans="1:105">
      <c r="A68" s="91"/>
      <c r="B68" s="14"/>
      <c r="H68" s="15">
        <f t="shared" si="100"/>
        <v>0</v>
      </c>
      <c r="I68" s="18">
        <f t="shared" si="112"/>
        <v>0</v>
      </c>
      <c r="J68" s="15">
        <f t="shared" si="113"/>
        <v>0</v>
      </c>
      <c r="O68" s="15">
        <f t="shared" si="77"/>
        <v>0</v>
      </c>
      <c r="P68" s="18">
        <f t="shared" si="114"/>
        <v>0</v>
      </c>
      <c r="Q68" s="15">
        <f t="shared" si="115"/>
        <v>0</v>
      </c>
      <c r="V68" s="15">
        <f t="shared" si="106"/>
        <v>0</v>
      </c>
      <c r="W68" s="15">
        <f t="shared" si="107"/>
        <v>0</v>
      </c>
      <c r="X68" s="15">
        <f t="shared" si="99"/>
        <v>0</v>
      </c>
      <c r="Y68" s="15">
        <f>J68+Q68+X68</f>
        <v>0</v>
      </c>
      <c r="Z68" s="15">
        <f>SUM(H68,O68,V68)</f>
        <v>0</v>
      </c>
      <c r="AA68" s="78" t="e">
        <f t="shared" si="78"/>
        <v>#DIV/0!</v>
      </c>
      <c r="AB68" s="78"/>
      <c r="AG68" s="15">
        <f t="shared" si="79"/>
        <v>0</v>
      </c>
      <c r="AH68" s="15">
        <f t="shared" si="88"/>
        <v>0</v>
      </c>
      <c r="AI68" s="15">
        <f t="shared" si="89"/>
        <v>0</v>
      </c>
      <c r="AO68" s="15">
        <f t="shared" si="80"/>
        <v>0</v>
      </c>
      <c r="AP68" s="15">
        <f t="shared" si="90"/>
        <v>0</v>
      </c>
      <c r="AQ68" s="15">
        <f t="shared" si="91"/>
        <v>0</v>
      </c>
      <c r="AV68" s="15">
        <f>COUNTIF(AR68:AU68,"PR")</f>
        <v>0</v>
      </c>
      <c r="AW68" s="15">
        <f t="shared" si="108"/>
        <v>0</v>
      </c>
      <c r="AX68" s="15">
        <f t="shared" si="98"/>
        <v>0</v>
      </c>
      <c r="AY68" s="15">
        <f>AI68+AQ68+AX68</f>
        <v>0</v>
      </c>
      <c r="AZ68" s="15">
        <f>SUM(AG68,AO68,AV68)</f>
        <v>0</v>
      </c>
      <c r="BA68" s="78" t="e">
        <f t="shared" si="81"/>
        <v>#DIV/0!</v>
      </c>
      <c r="BD68" s="1"/>
      <c r="BF68" s="15">
        <f t="shared" si="82"/>
        <v>0</v>
      </c>
      <c r="BG68" s="15">
        <f t="shared" si="92"/>
        <v>0</v>
      </c>
      <c r="BH68" s="15">
        <f t="shared" si="93"/>
        <v>0</v>
      </c>
      <c r="BN68" s="15">
        <f t="shared" si="83"/>
        <v>0</v>
      </c>
      <c r="BO68" s="15">
        <f t="shared" si="109"/>
        <v>0</v>
      </c>
      <c r="BP68" s="15">
        <f t="shared" si="94"/>
        <v>0</v>
      </c>
      <c r="BU68" s="15">
        <f t="shared" si="84"/>
        <v>0</v>
      </c>
      <c r="BV68" s="15">
        <f t="shared" si="95"/>
        <v>0</v>
      </c>
      <c r="BW68" s="15">
        <f t="shared" si="101"/>
        <v>0</v>
      </c>
      <c r="BX68" s="15">
        <f t="shared" si="110"/>
        <v>0</v>
      </c>
      <c r="BY68" s="15">
        <f t="shared" si="111"/>
        <v>0</v>
      </c>
      <c r="BZ68" s="78" t="e">
        <f t="shared" si="102"/>
        <v>#DIV/0!</v>
      </c>
      <c r="CA68" s="78"/>
      <c r="CG68" s="15">
        <f>COUNTIF(CB68:CF68,"PR")</f>
        <v>0</v>
      </c>
      <c r="CH68" s="15">
        <f>COUNTIF(CB68:CF68,"AB")</f>
        <v>0</v>
      </c>
      <c r="CI68" s="15">
        <f t="shared" si="96"/>
        <v>0</v>
      </c>
      <c r="CN68" s="15">
        <f>COUNTIF(CJ68:CM68,"PR")</f>
        <v>0</v>
      </c>
      <c r="CO68" s="15">
        <f>COUNTIF(CJ68:CM68,"AB")</f>
        <v>0</v>
      </c>
      <c r="CP68" s="15">
        <f t="shared" si="97"/>
        <v>0</v>
      </c>
      <c r="CU68" s="15">
        <f t="shared" si="86"/>
        <v>0</v>
      </c>
      <c r="CV68" s="15">
        <f t="shared" si="103"/>
        <v>0</v>
      </c>
      <c r="CW68" s="15">
        <f t="shared" si="104"/>
        <v>0</v>
      </c>
      <c r="CX68" s="15">
        <f>CG68+CN68+CU68</f>
        <v>0</v>
      </c>
      <c r="CY68" s="15" t="e">
        <f>SUM(CE68,#REF!,CS68)</f>
        <v>#REF!</v>
      </c>
      <c r="CZ68" s="78" t="e">
        <f t="shared" si="105"/>
        <v>#REF!</v>
      </c>
      <c r="DA68" s="78"/>
    </row>
    <row r="69" spans="1:105">
      <c r="A69" s="91"/>
      <c r="B69" s="14"/>
      <c r="H69" s="15">
        <f t="shared" si="100"/>
        <v>0</v>
      </c>
      <c r="I69" s="18">
        <f t="shared" si="112"/>
        <v>0</v>
      </c>
      <c r="J69" s="15">
        <f t="shared" si="113"/>
        <v>0</v>
      </c>
      <c r="O69" s="15">
        <f t="shared" si="77"/>
        <v>0</v>
      </c>
      <c r="P69" s="18">
        <f t="shared" si="114"/>
        <v>0</v>
      </c>
      <c r="Q69" s="15">
        <f t="shared" si="115"/>
        <v>0</v>
      </c>
      <c r="V69" s="15">
        <f t="shared" si="106"/>
        <v>0</v>
      </c>
      <c r="W69" s="15">
        <f t="shared" si="107"/>
        <v>0</v>
      </c>
      <c r="X69" s="15">
        <f t="shared" si="99"/>
        <v>0</v>
      </c>
      <c r="Y69" s="15">
        <f>J69+Q69+X69</f>
        <v>0</v>
      </c>
      <c r="Z69" s="15">
        <f>SUM(H69,O69,V69)</f>
        <v>0</v>
      </c>
      <c r="AA69" s="78" t="e">
        <f t="shared" si="78"/>
        <v>#DIV/0!</v>
      </c>
      <c r="AB69" s="78"/>
      <c r="AG69" s="15">
        <f t="shared" si="79"/>
        <v>0</v>
      </c>
      <c r="AH69" s="15">
        <f t="shared" si="88"/>
        <v>0</v>
      </c>
      <c r="AI69" s="15">
        <f t="shared" si="89"/>
        <v>0</v>
      </c>
      <c r="AO69" s="15">
        <f t="shared" si="80"/>
        <v>0</v>
      </c>
      <c r="AP69" s="15">
        <f t="shared" si="90"/>
        <v>0</v>
      </c>
      <c r="AQ69" s="15">
        <f t="shared" si="91"/>
        <v>0</v>
      </c>
      <c r="AV69" s="15">
        <f>COUNTIF(AR69:AU69,"PR")</f>
        <v>0</v>
      </c>
      <c r="AW69" s="15">
        <f t="shared" si="108"/>
        <v>0</v>
      </c>
      <c r="AX69" s="15">
        <f t="shared" si="98"/>
        <v>0</v>
      </c>
      <c r="AY69" s="15">
        <f>AI69+AQ69+AX69</f>
        <v>0</v>
      </c>
      <c r="AZ69" s="15">
        <f>SUM(AG69,AO69,AV69)</f>
        <v>0</v>
      </c>
      <c r="BA69" s="78" t="e">
        <f t="shared" si="81"/>
        <v>#DIV/0!</v>
      </c>
      <c r="BD69" s="1"/>
      <c r="BF69" s="15">
        <f t="shared" si="82"/>
        <v>0</v>
      </c>
      <c r="BG69" s="15">
        <f t="shared" si="92"/>
        <v>0</v>
      </c>
      <c r="BH69" s="15">
        <f t="shared" si="93"/>
        <v>0</v>
      </c>
      <c r="BN69" s="15">
        <f t="shared" si="83"/>
        <v>0</v>
      </c>
      <c r="BO69" s="15">
        <f t="shared" si="109"/>
        <v>0</v>
      </c>
      <c r="BP69" s="15">
        <f t="shared" si="94"/>
        <v>0</v>
      </c>
      <c r="BU69" s="15">
        <f t="shared" si="84"/>
        <v>0</v>
      </c>
      <c r="BV69" s="15">
        <f t="shared" si="95"/>
        <v>0</v>
      </c>
      <c r="BW69" s="15">
        <f t="shared" si="101"/>
        <v>0</v>
      </c>
      <c r="BX69" s="15">
        <f t="shared" si="110"/>
        <v>0</v>
      </c>
      <c r="BY69" s="15">
        <f t="shared" si="111"/>
        <v>0</v>
      </c>
      <c r="BZ69" s="78" t="e">
        <f t="shared" si="102"/>
        <v>#DIV/0!</v>
      </c>
      <c r="CA69" s="78"/>
      <c r="CG69" s="15">
        <f>COUNTIF(CB69:CF69,"PR")</f>
        <v>0</v>
      </c>
      <c r="CH69" s="15">
        <f>COUNTIF(CB69:CF69,"AB")</f>
        <v>0</v>
      </c>
      <c r="CI69" s="15">
        <f t="shared" si="96"/>
        <v>0</v>
      </c>
      <c r="CN69" s="15">
        <f>COUNTIF(CJ69:CM69,"PR")</f>
        <v>0</v>
      </c>
      <c r="CO69" s="15">
        <f>COUNTIF(CJ69:CM69,"AB")</f>
        <v>0</v>
      </c>
      <c r="CP69" s="15">
        <f t="shared" si="97"/>
        <v>0</v>
      </c>
      <c r="CU69" s="15">
        <f t="shared" si="86"/>
        <v>0</v>
      </c>
      <c r="CV69" s="15">
        <f t="shared" si="103"/>
        <v>0</v>
      </c>
      <c r="CW69" s="15">
        <f t="shared" si="104"/>
        <v>0</v>
      </c>
      <c r="CX69" s="15">
        <f>CG69+CN69+CU69</f>
        <v>0</v>
      </c>
      <c r="CY69" s="15" t="e">
        <f>SUM(CE69,#REF!,CS69)</f>
        <v>#REF!</v>
      </c>
      <c r="CZ69" s="78" t="e">
        <f t="shared" si="105"/>
        <v>#REF!</v>
      </c>
      <c r="DA69" s="78"/>
    </row>
    <row r="70" spans="1:105">
      <c r="A70" s="91"/>
      <c r="B70" s="14"/>
      <c r="H70" s="15">
        <f t="shared" si="100"/>
        <v>0</v>
      </c>
      <c r="I70" s="18">
        <f t="shared" si="112"/>
        <v>0</v>
      </c>
      <c r="J70" s="15">
        <f t="shared" si="113"/>
        <v>0</v>
      </c>
      <c r="O70" s="15">
        <f t="shared" si="77"/>
        <v>0</v>
      </c>
      <c r="P70" s="18">
        <f t="shared" si="114"/>
        <v>0</v>
      </c>
      <c r="Q70" s="15">
        <f t="shared" si="115"/>
        <v>0</v>
      </c>
      <c r="V70" s="15">
        <f t="shared" si="106"/>
        <v>0</v>
      </c>
      <c r="W70" s="15">
        <f t="shared" si="107"/>
        <v>0</v>
      </c>
      <c r="X70" s="15">
        <f t="shared" si="99"/>
        <v>0</v>
      </c>
      <c r="Y70" s="15">
        <f>J70+Q70+X70</f>
        <v>0</v>
      </c>
      <c r="Z70" s="15">
        <f>SUM(H70,O70,V70)</f>
        <v>0</v>
      </c>
      <c r="AA70" s="78" t="e">
        <f t="shared" si="78"/>
        <v>#DIV/0!</v>
      </c>
      <c r="AB70" s="78"/>
      <c r="AG70" s="15">
        <f t="shared" si="79"/>
        <v>0</v>
      </c>
      <c r="AH70" s="15">
        <f t="shared" si="88"/>
        <v>0</v>
      </c>
      <c r="AI70" s="15">
        <f t="shared" si="89"/>
        <v>0</v>
      </c>
      <c r="AO70" s="15">
        <f t="shared" si="80"/>
        <v>0</v>
      </c>
      <c r="AP70" s="15">
        <f t="shared" si="90"/>
        <v>0</v>
      </c>
      <c r="AQ70" s="15">
        <f t="shared" si="91"/>
        <v>0</v>
      </c>
      <c r="AV70" s="15">
        <f>COUNTIF(AR70:AU70,"PR")</f>
        <v>0</v>
      </c>
      <c r="AW70" s="15">
        <f t="shared" si="108"/>
        <v>0</v>
      </c>
      <c r="AX70" s="15">
        <f t="shared" si="98"/>
        <v>0</v>
      </c>
      <c r="AY70" s="15">
        <f>AI70+AQ70+AX70</f>
        <v>0</v>
      </c>
      <c r="AZ70" s="15">
        <f>SUM(AG70,AO70,AV70)</f>
        <v>0</v>
      </c>
      <c r="BA70" s="78" t="e">
        <f t="shared" si="81"/>
        <v>#DIV/0!</v>
      </c>
      <c r="BD70" s="1"/>
      <c r="BF70" s="15">
        <f t="shared" si="82"/>
        <v>0</v>
      </c>
      <c r="BG70" s="15">
        <f t="shared" si="92"/>
        <v>0</v>
      </c>
      <c r="BH70" s="15">
        <f t="shared" si="93"/>
        <v>0</v>
      </c>
      <c r="BN70" s="15">
        <f t="shared" si="83"/>
        <v>0</v>
      </c>
      <c r="BO70" s="15">
        <f t="shared" si="109"/>
        <v>0</v>
      </c>
      <c r="BP70" s="15">
        <f t="shared" si="94"/>
        <v>0</v>
      </c>
      <c r="BU70" s="15">
        <f t="shared" si="84"/>
        <v>0</v>
      </c>
      <c r="BV70" s="15">
        <f t="shared" si="95"/>
        <v>0</v>
      </c>
      <c r="BW70" s="15">
        <f t="shared" si="101"/>
        <v>0</v>
      </c>
      <c r="BX70" s="15">
        <f t="shared" si="110"/>
        <v>0</v>
      </c>
      <c r="BY70" s="15">
        <f t="shared" si="111"/>
        <v>0</v>
      </c>
      <c r="BZ70" s="78" t="e">
        <f t="shared" si="102"/>
        <v>#DIV/0!</v>
      </c>
      <c r="CA70" s="78"/>
      <c r="CG70" s="15">
        <f>COUNTIF(CB70:CF70,"PR")</f>
        <v>0</v>
      </c>
      <c r="CH70" s="15">
        <f>COUNTIF(CB70:CF70,"AB")</f>
        <v>0</v>
      </c>
      <c r="CI70" s="15">
        <f t="shared" si="96"/>
        <v>0</v>
      </c>
      <c r="CN70" s="15">
        <f>COUNTIF(CJ70:CM70,"PR")</f>
        <v>0</v>
      </c>
      <c r="CO70" s="15">
        <f>COUNTIF(CJ70:CM70,"AB")</f>
        <v>0</v>
      </c>
      <c r="CP70" s="15">
        <f t="shared" si="97"/>
        <v>0</v>
      </c>
      <c r="CU70" s="15">
        <f t="shared" si="86"/>
        <v>0</v>
      </c>
      <c r="CV70" s="15">
        <f t="shared" si="103"/>
        <v>0</v>
      </c>
      <c r="CW70" s="15">
        <f t="shared" si="104"/>
        <v>0</v>
      </c>
      <c r="CX70" s="15">
        <f>CG70+CN70+CU70</f>
        <v>0</v>
      </c>
      <c r="CY70" s="15" t="e">
        <f>SUM(CE70,#REF!,CS70)</f>
        <v>#REF!</v>
      </c>
      <c r="CZ70" s="78" t="e">
        <f t="shared" si="105"/>
        <v>#REF!</v>
      </c>
      <c r="DA70" s="78"/>
    </row>
    <row r="71" spans="1:105">
      <c r="A71" s="91"/>
      <c r="B71" s="14"/>
      <c r="H71" s="15">
        <f t="shared" si="100"/>
        <v>0</v>
      </c>
      <c r="I71" s="18">
        <f t="shared" si="112"/>
        <v>0</v>
      </c>
      <c r="J71" s="15">
        <f t="shared" si="113"/>
        <v>0</v>
      </c>
      <c r="O71" s="15">
        <f t="shared" si="77"/>
        <v>0</v>
      </c>
      <c r="P71" s="18">
        <f t="shared" si="114"/>
        <v>0</v>
      </c>
      <c r="Q71" s="15">
        <f t="shared" si="115"/>
        <v>0</v>
      </c>
      <c r="V71" s="15">
        <f t="shared" si="106"/>
        <v>0</v>
      </c>
      <c r="W71" s="15">
        <f t="shared" si="107"/>
        <v>0</v>
      </c>
      <c r="X71" s="15">
        <f t="shared" si="99"/>
        <v>0</v>
      </c>
      <c r="Y71" s="15">
        <f>J71+Q71+X71</f>
        <v>0</v>
      </c>
      <c r="Z71" s="15">
        <f>SUM(H71,O71,V71)</f>
        <v>0</v>
      </c>
      <c r="AA71" s="78" t="e">
        <f t="shared" si="78"/>
        <v>#DIV/0!</v>
      </c>
      <c r="AB71" s="78"/>
      <c r="AG71" s="15">
        <f t="shared" si="79"/>
        <v>0</v>
      </c>
      <c r="AH71" s="15">
        <f t="shared" si="88"/>
        <v>0</v>
      </c>
      <c r="AI71" s="15">
        <f t="shared" si="89"/>
        <v>0</v>
      </c>
      <c r="AO71" s="15">
        <f t="shared" si="80"/>
        <v>0</v>
      </c>
      <c r="AP71" s="15">
        <f t="shared" si="90"/>
        <v>0</v>
      </c>
      <c r="AQ71" s="15">
        <f t="shared" si="91"/>
        <v>0</v>
      </c>
      <c r="AV71" s="15">
        <f>COUNTIF(AR71:AU71,"PR")</f>
        <v>0</v>
      </c>
      <c r="AW71" s="15">
        <f t="shared" si="108"/>
        <v>0</v>
      </c>
      <c r="AX71" s="15">
        <f t="shared" si="98"/>
        <v>0</v>
      </c>
      <c r="AY71" s="15">
        <f>AI71+AQ71+AX71</f>
        <v>0</v>
      </c>
      <c r="AZ71" s="15">
        <f>SUM(AG71,AO71,AV71)</f>
        <v>0</v>
      </c>
      <c r="BA71" s="78" t="e">
        <f t="shared" si="81"/>
        <v>#DIV/0!</v>
      </c>
      <c r="BD71" s="1"/>
      <c r="BF71" s="15">
        <f t="shared" si="82"/>
        <v>0</v>
      </c>
      <c r="BG71" s="15">
        <f t="shared" si="92"/>
        <v>0</v>
      </c>
      <c r="BH71" s="15">
        <f t="shared" si="93"/>
        <v>0</v>
      </c>
      <c r="BN71" s="15">
        <f t="shared" si="83"/>
        <v>0</v>
      </c>
      <c r="BO71" s="15">
        <f t="shared" si="109"/>
        <v>0</v>
      </c>
      <c r="BP71" s="15">
        <f t="shared" si="94"/>
        <v>0</v>
      </c>
      <c r="BU71" s="15">
        <f t="shared" si="84"/>
        <v>0</v>
      </c>
      <c r="BV71" s="15">
        <f t="shared" si="95"/>
        <v>0</v>
      </c>
      <c r="BW71" s="15">
        <f t="shared" si="101"/>
        <v>0</v>
      </c>
      <c r="BX71" s="15">
        <f t="shared" si="110"/>
        <v>0</v>
      </c>
      <c r="BY71" s="15">
        <f t="shared" si="111"/>
        <v>0</v>
      </c>
      <c r="BZ71" s="78" t="e">
        <f t="shared" si="102"/>
        <v>#DIV/0!</v>
      </c>
      <c r="CA71" s="78"/>
      <c r="CG71" s="15">
        <f>COUNTIF(CB71:CF71,"PR")</f>
        <v>0</v>
      </c>
      <c r="CH71" s="15">
        <f>COUNTIF(CB71:CF71,"AB")</f>
        <v>0</v>
      </c>
      <c r="CI71" s="15">
        <f t="shared" si="96"/>
        <v>0</v>
      </c>
      <c r="CN71" s="15">
        <f>COUNTIF(CJ71:CM71,"PR")</f>
        <v>0</v>
      </c>
      <c r="CO71" s="15">
        <f>COUNTIF(CJ71:CM71,"AB")</f>
        <v>0</v>
      </c>
      <c r="CP71" s="15">
        <f t="shared" si="97"/>
        <v>0</v>
      </c>
      <c r="CU71" s="15">
        <f t="shared" si="86"/>
        <v>0</v>
      </c>
      <c r="CV71" s="15">
        <f t="shared" si="103"/>
        <v>0</v>
      </c>
      <c r="CW71" s="15">
        <f t="shared" si="104"/>
        <v>0</v>
      </c>
      <c r="CX71" s="15">
        <f>CG71+CN71+CU71</f>
        <v>0</v>
      </c>
      <c r="CY71" s="15" t="e">
        <f>SUM(CE71,#REF!,CS71)</f>
        <v>#REF!</v>
      </c>
      <c r="CZ71" s="78" t="e">
        <f t="shared" si="105"/>
        <v>#REF!</v>
      </c>
      <c r="DA71" s="78"/>
    </row>
    <row r="72" spans="1:105">
      <c r="A72" s="91"/>
      <c r="B72" s="14"/>
      <c r="H72" s="15">
        <f t="shared" si="100"/>
        <v>0</v>
      </c>
      <c r="I72" s="18">
        <f t="shared" si="112"/>
        <v>0</v>
      </c>
      <c r="J72" s="15">
        <f t="shared" si="113"/>
        <v>0</v>
      </c>
      <c r="O72" s="15">
        <f t="shared" si="77"/>
        <v>0</v>
      </c>
      <c r="P72" s="18">
        <f t="shared" si="114"/>
        <v>0</v>
      </c>
      <c r="Q72" s="15">
        <f t="shared" si="115"/>
        <v>0</v>
      </c>
      <c r="V72" s="15">
        <f t="shared" si="106"/>
        <v>0</v>
      </c>
      <c r="W72" s="15">
        <f t="shared" si="107"/>
        <v>0</v>
      </c>
      <c r="X72" s="15">
        <f t="shared" si="99"/>
        <v>0</v>
      </c>
      <c r="Y72" s="15">
        <f>J72+Q72+X72</f>
        <v>0</v>
      </c>
      <c r="Z72" s="15">
        <f>SUM(H72,O72,V72)</f>
        <v>0</v>
      </c>
      <c r="AA72" s="78" t="e">
        <f t="shared" si="78"/>
        <v>#DIV/0!</v>
      </c>
      <c r="AB72" s="78"/>
      <c r="AC72" s="76"/>
      <c r="AD72" s="72"/>
      <c r="AE72" s="72"/>
      <c r="AF72" s="72"/>
      <c r="AG72" s="15">
        <f t="shared" si="79"/>
        <v>0</v>
      </c>
      <c r="AH72" s="15">
        <f t="shared" si="88"/>
        <v>0</v>
      </c>
      <c r="AI72" s="15">
        <f t="shared" si="89"/>
        <v>0</v>
      </c>
      <c r="AJ72" s="76"/>
      <c r="AK72" s="72"/>
      <c r="AL72" s="72"/>
      <c r="AM72" s="72"/>
      <c r="AN72" s="72"/>
      <c r="AO72" s="15">
        <f t="shared" si="80"/>
        <v>0</v>
      </c>
      <c r="AP72" s="15">
        <f t="shared" si="90"/>
        <v>0</v>
      </c>
      <c r="AQ72" s="15">
        <f t="shared" si="91"/>
        <v>0</v>
      </c>
      <c r="AV72" s="15">
        <f>COUNTIF(AR72:AU72,"PR")</f>
        <v>0</v>
      </c>
      <c r="AW72" s="15">
        <f t="shared" si="108"/>
        <v>0</v>
      </c>
      <c r="AX72" s="15">
        <f t="shared" si="98"/>
        <v>0</v>
      </c>
      <c r="AY72" s="15">
        <f>AI72+AQ72+AX72</f>
        <v>0</v>
      </c>
      <c r="AZ72" s="15">
        <f>SUM(AG72,AO72,AV72)</f>
        <v>0</v>
      </c>
      <c r="BA72" s="78" t="e">
        <f t="shared" si="81"/>
        <v>#DIV/0!</v>
      </c>
      <c r="BD72" s="1"/>
      <c r="BF72" s="15">
        <f t="shared" si="82"/>
        <v>0</v>
      </c>
      <c r="BG72" s="15">
        <f t="shared" si="92"/>
        <v>0</v>
      </c>
      <c r="BH72" s="15">
        <f t="shared" si="93"/>
        <v>0</v>
      </c>
      <c r="BN72" s="15">
        <f t="shared" si="83"/>
        <v>0</v>
      </c>
      <c r="BO72" s="15">
        <f t="shared" si="109"/>
        <v>0</v>
      </c>
      <c r="BP72" s="15">
        <f t="shared" si="94"/>
        <v>0</v>
      </c>
      <c r="BU72" s="15">
        <f t="shared" si="84"/>
        <v>0</v>
      </c>
      <c r="BV72" s="15">
        <f t="shared" si="95"/>
        <v>0</v>
      </c>
      <c r="BW72" s="15">
        <f t="shared" si="101"/>
        <v>0</v>
      </c>
      <c r="BX72" s="15">
        <f t="shared" si="110"/>
        <v>0</v>
      </c>
      <c r="BY72" s="15">
        <f t="shared" si="111"/>
        <v>0</v>
      </c>
      <c r="BZ72" s="78" t="e">
        <f t="shared" si="102"/>
        <v>#DIV/0!</v>
      </c>
      <c r="CA72" s="78"/>
      <c r="CG72" s="15">
        <f>COUNTIF(CB72:CF72,"PR")</f>
        <v>0</v>
      </c>
      <c r="CH72" s="15">
        <f>COUNTIF(CB72:CF72,"AB")</f>
        <v>0</v>
      </c>
      <c r="CI72" s="15">
        <f t="shared" si="96"/>
        <v>0</v>
      </c>
      <c r="CN72" s="15">
        <f>COUNTIF(CJ72:CM72,"PR")</f>
        <v>0</v>
      </c>
      <c r="CO72" s="15">
        <f>COUNTIF(CJ72:CM72,"AB")</f>
        <v>0</v>
      </c>
      <c r="CP72" s="15">
        <f t="shared" si="97"/>
        <v>0</v>
      </c>
      <c r="CU72" s="15">
        <f t="shared" si="86"/>
        <v>0</v>
      </c>
      <c r="CV72" s="15">
        <f t="shared" si="103"/>
        <v>0</v>
      </c>
      <c r="CW72" s="15">
        <f t="shared" si="104"/>
        <v>0</v>
      </c>
      <c r="CX72" s="15">
        <f>CG72+CN72+CU72</f>
        <v>0</v>
      </c>
      <c r="CY72" s="15" t="e">
        <f>SUM(CE72,#REF!,CS72)</f>
        <v>#REF!</v>
      </c>
      <c r="CZ72" s="78" t="e">
        <f t="shared" si="105"/>
        <v>#REF!</v>
      </c>
      <c r="DA72" s="78"/>
    </row>
    <row r="73" spans="1:105">
      <c r="A73" s="91"/>
      <c r="B73" s="14"/>
      <c r="H73" s="15">
        <f t="shared" si="100"/>
        <v>0</v>
      </c>
      <c r="I73" s="18">
        <f t="shared" si="112"/>
        <v>0</v>
      </c>
      <c r="J73" s="15">
        <f t="shared" si="113"/>
        <v>0</v>
      </c>
      <c r="O73" s="15">
        <f t="shared" si="77"/>
        <v>0</v>
      </c>
      <c r="P73" s="18">
        <f t="shared" si="114"/>
        <v>0</v>
      </c>
      <c r="Q73" s="15">
        <f t="shared" si="115"/>
        <v>0</v>
      </c>
      <c r="V73" s="15">
        <f t="shared" si="106"/>
        <v>0</v>
      </c>
      <c r="W73" s="15">
        <f t="shared" si="107"/>
        <v>0</v>
      </c>
      <c r="X73" s="15">
        <f t="shared" si="99"/>
        <v>0</v>
      </c>
      <c r="Y73" s="15">
        <f>J73+Q73+X73</f>
        <v>0</v>
      </c>
      <c r="Z73" s="15">
        <f>SUM(H73,O73,V73)</f>
        <v>0</v>
      </c>
      <c r="AA73" s="78" t="e">
        <f t="shared" si="78"/>
        <v>#DIV/0!</v>
      </c>
      <c r="AB73" s="78"/>
      <c r="AG73" s="15">
        <f t="shared" si="79"/>
        <v>0</v>
      </c>
      <c r="AH73" s="15">
        <f t="shared" si="88"/>
        <v>0</v>
      </c>
      <c r="AI73" s="15">
        <f t="shared" si="89"/>
        <v>0</v>
      </c>
      <c r="AO73" s="15">
        <f t="shared" si="80"/>
        <v>0</v>
      </c>
      <c r="AP73" s="15">
        <f t="shared" si="90"/>
        <v>0</v>
      </c>
      <c r="AQ73" s="15">
        <f t="shared" si="91"/>
        <v>0</v>
      </c>
      <c r="AV73" s="15">
        <f>COUNTIF(AR73:AU73,"PR")</f>
        <v>0</v>
      </c>
      <c r="AW73" s="15">
        <f t="shared" si="108"/>
        <v>0</v>
      </c>
      <c r="AX73" s="15">
        <f t="shared" si="98"/>
        <v>0</v>
      </c>
      <c r="AY73" s="15">
        <f>AI73+AQ73+AX73</f>
        <v>0</v>
      </c>
      <c r="AZ73" s="15">
        <f>SUM(AG73,AO73,AV73)</f>
        <v>0</v>
      </c>
      <c r="BA73" s="78" t="e">
        <f t="shared" si="81"/>
        <v>#DIV/0!</v>
      </c>
      <c r="BD73" s="1"/>
      <c r="BF73" s="15">
        <f t="shared" si="82"/>
        <v>0</v>
      </c>
      <c r="BG73" s="15">
        <f t="shared" si="92"/>
        <v>0</v>
      </c>
      <c r="BH73" s="15">
        <f t="shared" si="93"/>
        <v>0</v>
      </c>
      <c r="BN73" s="15">
        <f t="shared" si="83"/>
        <v>0</v>
      </c>
      <c r="BO73" s="15">
        <f t="shared" si="109"/>
        <v>0</v>
      </c>
      <c r="BP73" s="15">
        <f t="shared" si="94"/>
        <v>0</v>
      </c>
      <c r="BU73" s="15">
        <f t="shared" si="84"/>
        <v>0</v>
      </c>
      <c r="BV73" s="15">
        <f t="shared" si="95"/>
        <v>0</v>
      </c>
      <c r="BW73" s="15">
        <f t="shared" si="101"/>
        <v>0</v>
      </c>
      <c r="BX73" s="15">
        <f t="shared" si="110"/>
        <v>0</v>
      </c>
      <c r="BY73" s="15">
        <f t="shared" si="111"/>
        <v>0</v>
      </c>
      <c r="BZ73" s="78" t="e">
        <f t="shared" si="102"/>
        <v>#DIV/0!</v>
      </c>
      <c r="CA73" s="78"/>
      <c r="CG73" s="15">
        <f>COUNTIF(CB73:CF73,"PR")</f>
        <v>0</v>
      </c>
      <c r="CH73" s="15">
        <f>COUNTIF(CB73:CF73,"AB")</f>
        <v>0</v>
      </c>
      <c r="CI73" s="15">
        <f t="shared" si="96"/>
        <v>0</v>
      </c>
      <c r="CN73" s="15">
        <f>COUNTIF(CJ73:CM73,"PR")</f>
        <v>0</v>
      </c>
      <c r="CO73" s="15">
        <f>COUNTIF(CJ73:CM73,"AB")</f>
        <v>0</v>
      </c>
      <c r="CP73" s="15">
        <f t="shared" si="97"/>
        <v>0</v>
      </c>
      <c r="CU73" s="15">
        <f t="shared" si="86"/>
        <v>0</v>
      </c>
      <c r="CV73" s="15">
        <f t="shared" si="103"/>
        <v>0</v>
      </c>
      <c r="CW73" s="15">
        <f t="shared" si="104"/>
        <v>0</v>
      </c>
      <c r="CX73" s="15">
        <f>CG73+CN73+CU73</f>
        <v>0</v>
      </c>
      <c r="CY73" s="15" t="e">
        <f>SUM(CE73,#REF!,CS73)</f>
        <v>#REF!</v>
      </c>
      <c r="CZ73" s="78" t="e">
        <f t="shared" si="105"/>
        <v>#REF!</v>
      </c>
      <c r="DA73" s="78"/>
    </row>
    <row r="74" spans="1:105">
      <c r="A74" s="91"/>
      <c r="B74" s="14"/>
      <c r="H74" s="15">
        <f t="shared" si="100"/>
        <v>0</v>
      </c>
      <c r="I74" s="18">
        <f t="shared" si="112"/>
        <v>0</v>
      </c>
      <c r="J74" s="15">
        <f t="shared" si="113"/>
        <v>0</v>
      </c>
      <c r="O74" s="15">
        <f t="shared" si="77"/>
        <v>0</v>
      </c>
      <c r="P74" s="18">
        <f t="shared" si="114"/>
        <v>0</v>
      </c>
      <c r="Q74" s="15">
        <f t="shared" si="115"/>
        <v>0</v>
      </c>
      <c r="V74" s="15">
        <f t="shared" si="106"/>
        <v>0</v>
      </c>
      <c r="W74" s="15">
        <f t="shared" si="107"/>
        <v>0</v>
      </c>
      <c r="X74" s="15">
        <f t="shared" si="99"/>
        <v>0</v>
      </c>
      <c r="Y74" s="15">
        <f>J74+Q74+X74</f>
        <v>0</v>
      </c>
      <c r="Z74" s="15">
        <f>SUM(H74,O74,V74)</f>
        <v>0</v>
      </c>
      <c r="AA74" s="78" t="e">
        <f t="shared" si="78"/>
        <v>#DIV/0!</v>
      </c>
      <c r="AB74" s="78"/>
      <c r="AG74" s="15">
        <f t="shared" si="79"/>
        <v>0</v>
      </c>
      <c r="AH74" s="15">
        <f t="shared" si="88"/>
        <v>0</v>
      </c>
      <c r="AI74" s="15">
        <f t="shared" si="89"/>
        <v>0</v>
      </c>
      <c r="AO74" s="15">
        <f t="shared" si="80"/>
        <v>0</v>
      </c>
      <c r="AP74" s="15">
        <f t="shared" si="90"/>
        <v>0</v>
      </c>
      <c r="AQ74" s="15">
        <f t="shared" si="91"/>
        <v>0</v>
      </c>
      <c r="AV74" s="15">
        <f>COUNTIF(AR74:AU74,"PR")</f>
        <v>0</v>
      </c>
      <c r="AW74" s="15">
        <f t="shared" si="108"/>
        <v>0</v>
      </c>
      <c r="AX74" s="15">
        <f t="shared" si="98"/>
        <v>0</v>
      </c>
      <c r="AY74" s="15">
        <f>AI74+AQ74+AX74</f>
        <v>0</v>
      </c>
      <c r="AZ74" s="15">
        <f>SUM(AG74,AO74,AV74)</f>
        <v>0</v>
      </c>
      <c r="BA74" s="78" t="e">
        <f t="shared" si="81"/>
        <v>#DIV/0!</v>
      </c>
      <c r="BD74" s="1"/>
      <c r="BF74" s="15">
        <f t="shared" si="82"/>
        <v>0</v>
      </c>
      <c r="BG74" s="15">
        <f t="shared" si="92"/>
        <v>0</v>
      </c>
      <c r="BH74" s="15">
        <f t="shared" si="93"/>
        <v>0</v>
      </c>
      <c r="BN74" s="15">
        <f t="shared" si="83"/>
        <v>0</v>
      </c>
      <c r="BO74" s="15">
        <f t="shared" si="109"/>
        <v>0</v>
      </c>
      <c r="BP74" s="15">
        <f t="shared" si="94"/>
        <v>0</v>
      </c>
      <c r="BU74" s="15">
        <f t="shared" si="84"/>
        <v>0</v>
      </c>
      <c r="BV74" s="15">
        <f t="shared" si="95"/>
        <v>0</v>
      </c>
      <c r="BW74" s="15">
        <f t="shared" si="101"/>
        <v>0</v>
      </c>
      <c r="BX74" s="15">
        <f t="shared" si="110"/>
        <v>0</v>
      </c>
      <c r="BY74" s="15">
        <f t="shared" si="111"/>
        <v>0</v>
      </c>
      <c r="BZ74" s="78" t="e">
        <f t="shared" si="102"/>
        <v>#DIV/0!</v>
      </c>
      <c r="CA74" s="78"/>
      <c r="CG74" s="15">
        <f>COUNTIF(CB74:CF74,"PR")</f>
        <v>0</v>
      </c>
      <c r="CH74" s="15">
        <f>COUNTIF(CB74:CF74,"AB")</f>
        <v>0</v>
      </c>
      <c r="CI74" s="15">
        <f t="shared" si="96"/>
        <v>0</v>
      </c>
      <c r="CN74" s="15">
        <f>COUNTIF(CJ74:CM74,"PR")</f>
        <v>0</v>
      </c>
      <c r="CO74" s="15">
        <f>COUNTIF(CJ74:CM74,"AB")</f>
        <v>0</v>
      </c>
      <c r="CP74" s="15">
        <f t="shared" si="97"/>
        <v>0</v>
      </c>
      <c r="CU74" s="15">
        <f t="shared" si="86"/>
        <v>0</v>
      </c>
      <c r="CV74" s="15">
        <f t="shared" si="103"/>
        <v>0</v>
      </c>
      <c r="CW74" s="15">
        <f t="shared" si="104"/>
        <v>0</v>
      </c>
      <c r="CX74" s="15">
        <f>CG74+CN74+CU74</f>
        <v>0</v>
      </c>
      <c r="CY74" s="15" t="e">
        <f>SUM(CE74,#REF!,CS74)</f>
        <v>#REF!</v>
      </c>
      <c r="CZ74" s="78" t="e">
        <f t="shared" si="105"/>
        <v>#REF!</v>
      </c>
      <c r="DA74" s="78"/>
    </row>
    <row r="75" spans="1:105">
      <c r="A75" s="91"/>
      <c r="B75" s="14"/>
      <c r="H75" s="15">
        <f t="shared" si="100"/>
        <v>0</v>
      </c>
      <c r="I75" s="18">
        <f t="shared" si="112"/>
        <v>0</v>
      </c>
      <c r="J75" s="15">
        <f t="shared" si="113"/>
        <v>0</v>
      </c>
      <c r="O75" s="15">
        <f t="shared" si="77"/>
        <v>0</v>
      </c>
      <c r="P75" s="18">
        <f t="shared" si="114"/>
        <v>0</v>
      </c>
      <c r="Q75" s="15">
        <f t="shared" si="115"/>
        <v>0</v>
      </c>
      <c r="V75" s="15">
        <f t="shared" si="106"/>
        <v>0</v>
      </c>
      <c r="W75" s="15">
        <f t="shared" si="107"/>
        <v>0</v>
      </c>
      <c r="X75" s="15">
        <f t="shared" si="99"/>
        <v>0</v>
      </c>
      <c r="Y75" s="15">
        <f>J75+Q75+X75</f>
        <v>0</v>
      </c>
      <c r="Z75" s="15">
        <f>SUM(H75,O75,V75)</f>
        <v>0</v>
      </c>
      <c r="AA75" s="78" t="e">
        <f t="shared" si="78"/>
        <v>#DIV/0!</v>
      </c>
      <c r="AB75" s="78"/>
      <c r="AG75" s="15">
        <f t="shared" si="79"/>
        <v>0</v>
      </c>
      <c r="AH75" s="15">
        <f t="shared" si="88"/>
        <v>0</v>
      </c>
      <c r="AI75" s="15">
        <f t="shared" si="89"/>
        <v>0</v>
      </c>
      <c r="AO75" s="15">
        <f t="shared" si="80"/>
        <v>0</v>
      </c>
      <c r="AP75" s="15">
        <f t="shared" si="90"/>
        <v>0</v>
      </c>
      <c r="AQ75" s="15">
        <f t="shared" si="91"/>
        <v>0</v>
      </c>
      <c r="AV75" s="15">
        <f>COUNTIF(AR75:AU75,"PR")</f>
        <v>0</v>
      </c>
      <c r="AW75" s="15">
        <f t="shared" si="108"/>
        <v>0</v>
      </c>
      <c r="AX75" s="15">
        <f t="shared" si="98"/>
        <v>0</v>
      </c>
      <c r="AY75" s="15">
        <f>AI75+AQ75+AX75</f>
        <v>0</v>
      </c>
      <c r="AZ75" s="15">
        <f>SUM(AG75,AO75,AV75)</f>
        <v>0</v>
      </c>
      <c r="BA75" s="78" t="e">
        <f t="shared" si="81"/>
        <v>#DIV/0!</v>
      </c>
      <c r="BD75" s="1"/>
      <c r="BF75" s="15">
        <f t="shared" si="82"/>
        <v>0</v>
      </c>
      <c r="BG75" s="15">
        <f t="shared" si="92"/>
        <v>0</v>
      </c>
      <c r="BH75" s="15">
        <f t="shared" si="93"/>
        <v>0</v>
      </c>
      <c r="BN75" s="15">
        <f t="shared" si="83"/>
        <v>0</v>
      </c>
      <c r="BO75" s="15">
        <f t="shared" si="109"/>
        <v>0</v>
      </c>
      <c r="BP75" s="15">
        <f t="shared" si="94"/>
        <v>0</v>
      </c>
      <c r="BU75" s="15">
        <f t="shared" si="84"/>
        <v>0</v>
      </c>
      <c r="BV75" s="15">
        <f t="shared" si="95"/>
        <v>0</v>
      </c>
      <c r="BW75" s="15">
        <f t="shared" si="101"/>
        <v>0</v>
      </c>
      <c r="BX75" s="15">
        <f t="shared" si="110"/>
        <v>0</v>
      </c>
      <c r="BY75" s="15">
        <f t="shared" si="111"/>
        <v>0</v>
      </c>
      <c r="BZ75" s="78" t="e">
        <f t="shared" si="102"/>
        <v>#DIV/0!</v>
      </c>
      <c r="CA75" s="78"/>
      <c r="CG75" s="15">
        <f>COUNTIF(CB75:CF75,"PR")</f>
        <v>0</v>
      </c>
      <c r="CH75" s="15">
        <f>COUNTIF(CB75:CF75,"AB")</f>
        <v>0</v>
      </c>
      <c r="CI75" s="15">
        <f t="shared" si="96"/>
        <v>0</v>
      </c>
      <c r="CN75" s="15">
        <f>COUNTIF(CJ75:CM75,"PR")</f>
        <v>0</v>
      </c>
      <c r="CO75" s="15">
        <f>COUNTIF(CJ75:CM75,"AB")</f>
        <v>0</v>
      </c>
      <c r="CP75" s="15">
        <f t="shared" si="97"/>
        <v>0</v>
      </c>
      <c r="CU75" s="15">
        <f t="shared" si="86"/>
        <v>0</v>
      </c>
      <c r="CV75" s="15">
        <f t="shared" si="103"/>
        <v>0</v>
      </c>
      <c r="CW75" s="15">
        <f t="shared" si="104"/>
        <v>0</v>
      </c>
      <c r="CX75" s="15">
        <f>CG75+CN75+CU75</f>
        <v>0</v>
      </c>
      <c r="CY75" s="15" t="e">
        <f>SUM(CE75,#REF!,CS75)</f>
        <v>#REF!</v>
      </c>
      <c r="CZ75" s="78" t="e">
        <f t="shared" si="105"/>
        <v>#REF!</v>
      </c>
      <c r="DA75" s="78"/>
    </row>
    <row r="76" spans="1:105">
      <c r="A76" s="91"/>
      <c r="B76" s="14"/>
      <c r="H76" s="15">
        <f t="shared" si="100"/>
        <v>0</v>
      </c>
      <c r="I76" s="18">
        <f t="shared" si="112"/>
        <v>0</v>
      </c>
      <c r="J76" s="15">
        <f t="shared" si="113"/>
        <v>0</v>
      </c>
      <c r="O76" s="15">
        <f t="shared" si="77"/>
        <v>0</v>
      </c>
      <c r="P76" s="18">
        <f t="shared" si="114"/>
        <v>0</v>
      </c>
      <c r="Q76" s="15">
        <f t="shared" si="115"/>
        <v>0</v>
      </c>
      <c r="V76" s="15">
        <f t="shared" si="106"/>
        <v>0</v>
      </c>
      <c r="W76" s="15">
        <f t="shared" si="107"/>
        <v>0</v>
      </c>
      <c r="X76" s="15">
        <f t="shared" si="99"/>
        <v>0</v>
      </c>
      <c r="Y76" s="15">
        <f>J76+Q76+X76</f>
        <v>0</v>
      </c>
      <c r="Z76" s="15">
        <f>SUM(H76,O76,V76)</f>
        <v>0</v>
      </c>
      <c r="AA76" s="78" t="e">
        <f t="shared" si="78"/>
        <v>#DIV/0!</v>
      </c>
      <c r="AB76" s="78"/>
      <c r="AG76" s="15">
        <f t="shared" si="79"/>
        <v>0</v>
      </c>
      <c r="AH76" s="15">
        <f t="shared" si="88"/>
        <v>0</v>
      </c>
      <c r="AI76" s="15">
        <f t="shared" si="89"/>
        <v>0</v>
      </c>
      <c r="AO76" s="15">
        <f t="shared" si="80"/>
        <v>0</v>
      </c>
      <c r="AP76" s="15">
        <f t="shared" si="90"/>
        <v>0</v>
      </c>
      <c r="AQ76" s="15">
        <f t="shared" si="91"/>
        <v>0</v>
      </c>
      <c r="AV76" s="15">
        <f>COUNTIF(AR76:AU76,"PR")</f>
        <v>0</v>
      </c>
      <c r="AW76" s="15">
        <f t="shared" si="108"/>
        <v>0</v>
      </c>
      <c r="AX76" s="15">
        <f t="shared" si="98"/>
        <v>0</v>
      </c>
      <c r="AY76" s="15">
        <f>AI76+AQ76+AX76</f>
        <v>0</v>
      </c>
      <c r="AZ76" s="15">
        <f>SUM(AG76,AO76,AV76)</f>
        <v>0</v>
      </c>
      <c r="BA76" s="78" t="e">
        <f t="shared" si="81"/>
        <v>#DIV/0!</v>
      </c>
      <c r="BD76" s="1"/>
      <c r="BF76" s="15">
        <f t="shared" si="82"/>
        <v>0</v>
      </c>
      <c r="BG76" s="15">
        <f t="shared" si="92"/>
        <v>0</v>
      </c>
      <c r="BH76" s="15">
        <f t="shared" si="93"/>
        <v>0</v>
      </c>
      <c r="BN76" s="15">
        <f t="shared" si="83"/>
        <v>0</v>
      </c>
      <c r="BO76" s="15">
        <f t="shared" si="109"/>
        <v>0</v>
      </c>
      <c r="BP76" s="15">
        <f t="shared" si="94"/>
        <v>0</v>
      </c>
      <c r="BU76" s="15">
        <f t="shared" si="84"/>
        <v>0</v>
      </c>
      <c r="BV76" s="15">
        <f t="shared" si="95"/>
        <v>0</v>
      </c>
      <c r="BW76" s="15">
        <f t="shared" si="101"/>
        <v>0</v>
      </c>
      <c r="BX76" s="15">
        <f t="shared" si="110"/>
        <v>0</v>
      </c>
      <c r="BY76" s="15">
        <f t="shared" si="111"/>
        <v>0</v>
      </c>
      <c r="BZ76" s="78" t="e">
        <f t="shared" si="102"/>
        <v>#DIV/0!</v>
      </c>
      <c r="CA76" s="78"/>
      <c r="CG76" s="15">
        <f>COUNTIF(CB76:CF76,"PR")</f>
        <v>0</v>
      </c>
      <c r="CH76" s="15">
        <f>COUNTIF(CB76:CF76,"AB")</f>
        <v>0</v>
      </c>
      <c r="CI76" s="15">
        <f t="shared" si="96"/>
        <v>0</v>
      </c>
      <c r="CN76" s="15">
        <f>COUNTIF(CJ76:CM76,"PR")</f>
        <v>0</v>
      </c>
      <c r="CO76" s="15">
        <f>COUNTIF(CJ76:CM76,"AB")</f>
        <v>0</v>
      </c>
      <c r="CP76" s="15">
        <f t="shared" si="97"/>
        <v>0</v>
      </c>
      <c r="CU76" s="15">
        <f t="shared" si="86"/>
        <v>0</v>
      </c>
      <c r="CV76" s="15">
        <f t="shared" si="103"/>
        <v>0</v>
      </c>
      <c r="CW76" s="15">
        <f t="shared" si="104"/>
        <v>0</v>
      </c>
      <c r="CX76" s="15">
        <f>CG76+CN76+CU76</f>
        <v>0</v>
      </c>
      <c r="CY76" s="15" t="e">
        <f>SUM(CE76,#REF!,CS76)</f>
        <v>#REF!</v>
      </c>
      <c r="CZ76" s="78" t="e">
        <f t="shared" si="105"/>
        <v>#REF!</v>
      </c>
      <c r="DA76" s="78"/>
    </row>
    <row r="77" spans="1:105">
      <c r="A77" s="91"/>
      <c r="B77" s="14"/>
      <c r="H77" s="15">
        <f t="shared" si="100"/>
        <v>0</v>
      </c>
      <c r="I77" s="18">
        <f t="shared" si="112"/>
        <v>0</v>
      </c>
      <c r="J77" s="15">
        <f t="shared" si="113"/>
        <v>0</v>
      </c>
      <c r="O77" s="15">
        <f t="shared" si="77"/>
        <v>0</v>
      </c>
      <c r="P77" s="18">
        <f t="shared" si="114"/>
        <v>0</v>
      </c>
      <c r="Q77" s="15">
        <f t="shared" si="115"/>
        <v>0</v>
      </c>
      <c r="V77" s="15">
        <f t="shared" si="106"/>
        <v>0</v>
      </c>
      <c r="W77" s="15">
        <f t="shared" si="107"/>
        <v>0</v>
      </c>
      <c r="X77" s="15">
        <f t="shared" si="99"/>
        <v>0</v>
      </c>
      <c r="Y77" s="15">
        <f>J77+Q77+X77</f>
        <v>0</v>
      </c>
      <c r="Z77" s="15">
        <f>SUM(H77,O77,V77)</f>
        <v>0</v>
      </c>
      <c r="AA77" s="78" t="e">
        <f t="shared" si="78"/>
        <v>#DIV/0!</v>
      </c>
      <c r="AB77" s="78"/>
      <c r="AG77" s="15">
        <f t="shared" si="79"/>
        <v>0</v>
      </c>
      <c r="AH77" s="15">
        <f t="shared" si="88"/>
        <v>0</v>
      </c>
      <c r="AI77" s="15">
        <f t="shared" si="89"/>
        <v>0</v>
      </c>
      <c r="AO77" s="15">
        <f t="shared" si="80"/>
        <v>0</v>
      </c>
      <c r="AP77" s="15">
        <f t="shared" si="90"/>
        <v>0</v>
      </c>
      <c r="AQ77" s="15">
        <f t="shared" si="91"/>
        <v>0</v>
      </c>
      <c r="AV77" s="15">
        <f>COUNTIF(AR77:AU77,"PR")</f>
        <v>0</v>
      </c>
      <c r="AW77" s="15">
        <f t="shared" si="108"/>
        <v>0</v>
      </c>
      <c r="AX77" s="15">
        <f t="shared" si="98"/>
        <v>0</v>
      </c>
      <c r="AY77" s="15">
        <f>AI77+AQ77+AX77</f>
        <v>0</v>
      </c>
      <c r="AZ77" s="15">
        <f>SUM(AG77,AO77,AV77)</f>
        <v>0</v>
      </c>
      <c r="BA77" s="78" t="e">
        <f t="shared" si="81"/>
        <v>#DIV/0!</v>
      </c>
      <c r="BD77" s="1"/>
      <c r="BF77" s="15">
        <f t="shared" si="82"/>
        <v>0</v>
      </c>
      <c r="BG77" s="15">
        <f t="shared" si="92"/>
        <v>0</v>
      </c>
      <c r="BH77" s="15">
        <f t="shared" si="93"/>
        <v>0</v>
      </c>
      <c r="BN77" s="15">
        <f t="shared" si="83"/>
        <v>0</v>
      </c>
      <c r="BO77" s="15">
        <f t="shared" si="109"/>
        <v>0</v>
      </c>
      <c r="BP77" s="15">
        <f t="shared" si="94"/>
        <v>0</v>
      </c>
      <c r="BU77" s="15">
        <f t="shared" si="84"/>
        <v>0</v>
      </c>
      <c r="BV77" s="15">
        <f t="shared" si="95"/>
        <v>0</v>
      </c>
      <c r="BW77" s="15">
        <f t="shared" si="101"/>
        <v>0</v>
      </c>
      <c r="BX77" s="15">
        <f t="shared" si="110"/>
        <v>0</v>
      </c>
      <c r="BY77" s="15">
        <f t="shared" si="111"/>
        <v>0</v>
      </c>
      <c r="BZ77" s="78" t="e">
        <f t="shared" si="102"/>
        <v>#DIV/0!</v>
      </c>
      <c r="CA77" s="78"/>
      <c r="CG77" s="15">
        <f>COUNTIF(CB77:CF77,"PR")</f>
        <v>0</v>
      </c>
      <c r="CH77" s="15">
        <f>COUNTIF(CB77:CF77,"AB")</f>
        <v>0</v>
      </c>
      <c r="CI77" s="15">
        <f t="shared" si="96"/>
        <v>0</v>
      </c>
      <c r="CN77" s="15">
        <f>COUNTIF(CJ77:CM77,"PR")</f>
        <v>0</v>
      </c>
      <c r="CO77" s="15">
        <f>COUNTIF(CJ77:CM77,"AB")</f>
        <v>0</v>
      </c>
      <c r="CP77" s="15">
        <f t="shared" si="97"/>
        <v>0</v>
      </c>
      <c r="CU77" s="15">
        <f t="shared" si="86"/>
        <v>0</v>
      </c>
      <c r="CV77" s="15">
        <f t="shared" si="103"/>
        <v>0</v>
      </c>
      <c r="CW77" s="15">
        <f t="shared" si="104"/>
        <v>0</v>
      </c>
      <c r="CX77" s="15">
        <f>CG77+CN77+CU77</f>
        <v>0</v>
      </c>
      <c r="CY77" s="15" t="e">
        <f>SUM(CE77,#REF!,CS77)</f>
        <v>#REF!</v>
      </c>
      <c r="CZ77" s="78" t="e">
        <f t="shared" si="105"/>
        <v>#REF!</v>
      </c>
      <c r="DA77" s="78"/>
    </row>
    <row r="78" spans="1:105">
      <c r="A78" s="91"/>
      <c r="B78" s="14"/>
      <c r="H78" s="15">
        <f t="shared" si="100"/>
        <v>0</v>
      </c>
      <c r="I78" s="18">
        <f t="shared" si="112"/>
        <v>0</v>
      </c>
      <c r="J78" s="15">
        <f t="shared" si="113"/>
        <v>0</v>
      </c>
      <c r="O78" s="15">
        <f t="shared" si="77"/>
        <v>0</v>
      </c>
      <c r="P78" s="18">
        <f t="shared" si="114"/>
        <v>0</v>
      </c>
      <c r="Q78" s="15">
        <f t="shared" si="115"/>
        <v>0</v>
      </c>
      <c r="V78" s="15">
        <f t="shared" si="106"/>
        <v>0</v>
      </c>
      <c r="W78" s="15">
        <f t="shared" si="107"/>
        <v>0</v>
      </c>
      <c r="X78" s="15">
        <f t="shared" si="99"/>
        <v>0</v>
      </c>
      <c r="Y78" s="15">
        <f>J78+Q78+X78</f>
        <v>0</v>
      </c>
      <c r="Z78" s="15">
        <f>SUM(H78,O78,V78)</f>
        <v>0</v>
      </c>
      <c r="AA78" s="78" t="e">
        <f t="shared" si="78"/>
        <v>#DIV/0!</v>
      </c>
      <c r="AB78" s="78"/>
      <c r="AG78" s="15">
        <f t="shared" si="79"/>
        <v>0</v>
      </c>
      <c r="AH78" s="15">
        <f t="shared" si="88"/>
        <v>0</v>
      </c>
      <c r="AI78" s="15">
        <f t="shared" si="89"/>
        <v>0</v>
      </c>
      <c r="AO78" s="15">
        <f t="shared" si="80"/>
        <v>0</v>
      </c>
      <c r="AP78" s="15">
        <f t="shared" si="90"/>
        <v>0</v>
      </c>
      <c r="AQ78" s="15">
        <f t="shared" si="91"/>
        <v>0</v>
      </c>
      <c r="AV78" s="15">
        <f>COUNTIF(AR78:AU78,"PR")</f>
        <v>0</v>
      </c>
      <c r="AW78" s="15">
        <f t="shared" si="108"/>
        <v>0</v>
      </c>
      <c r="AX78" s="15">
        <f t="shared" si="98"/>
        <v>0</v>
      </c>
      <c r="AY78" s="15">
        <f>AI78+AQ78+AX78</f>
        <v>0</v>
      </c>
      <c r="AZ78" s="15">
        <f>SUM(AG78,AO78,AV78)</f>
        <v>0</v>
      </c>
      <c r="BA78" s="78" t="e">
        <f t="shared" si="81"/>
        <v>#DIV/0!</v>
      </c>
      <c r="BD78" s="1"/>
      <c r="BF78" s="15">
        <f t="shared" si="82"/>
        <v>0</v>
      </c>
      <c r="BG78" s="15">
        <f t="shared" si="92"/>
        <v>0</v>
      </c>
      <c r="BH78" s="15">
        <f t="shared" si="93"/>
        <v>0</v>
      </c>
      <c r="BN78" s="15">
        <f t="shared" si="83"/>
        <v>0</v>
      </c>
      <c r="BO78" s="15">
        <f t="shared" si="109"/>
        <v>0</v>
      </c>
      <c r="BP78" s="15">
        <f t="shared" si="94"/>
        <v>0</v>
      </c>
      <c r="BU78" s="15">
        <f t="shared" si="84"/>
        <v>0</v>
      </c>
      <c r="BV78" s="15">
        <f t="shared" si="95"/>
        <v>0</v>
      </c>
      <c r="BW78" s="15">
        <f t="shared" si="101"/>
        <v>0</v>
      </c>
      <c r="BX78" s="15">
        <f t="shared" si="110"/>
        <v>0</v>
      </c>
      <c r="BY78" s="15">
        <f t="shared" si="111"/>
        <v>0</v>
      </c>
      <c r="BZ78" s="78" t="e">
        <f t="shared" si="102"/>
        <v>#DIV/0!</v>
      </c>
      <c r="CA78" s="78"/>
      <c r="CG78" s="15">
        <f>COUNTIF(CB78:CF78,"PR")</f>
        <v>0</v>
      </c>
      <c r="CH78" s="15">
        <f>COUNTIF(CB78:CF78,"AB")</f>
        <v>0</v>
      </c>
      <c r="CI78" s="15">
        <f t="shared" si="96"/>
        <v>0</v>
      </c>
      <c r="CN78" s="15">
        <f>COUNTIF(CJ78:CM78,"PR")</f>
        <v>0</v>
      </c>
      <c r="CO78" s="15">
        <f>COUNTIF(CJ78:CM78,"AB")</f>
        <v>0</v>
      </c>
      <c r="CP78" s="15">
        <f t="shared" si="97"/>
        <v>0</v>
      </c>
      <c r="CU78" s="15">
        <f t="shared" si="86"/>
        <v>0</v>
      </c>
      <c r="CV78" s="15">
        <f t="shared" si="103"/>
        <v>0</v>
      </c>
      <c r="CW78" s="15">
        <f t="shared" si="104"/>
        <v>0</v>
      </c>
      <c r="CX78" s="15">
        <f>CG78+CN78+CU78</f>
        <v>0</v>
      </c>
      <c r="CY78" s="15" t="e">
        <f>SUM(CE78,#REF!,CS78)</f>
        <v>#REF!</v>
      </c>
      <c r="CZ78" s="78" t="e">
        <f t="shared" si="105"/>
        <v>#REF!</v>
      </c>
      <c r="DA78" s="78"/>
    </row>
    <row r="79" spans="1:105">
      <c r="A79" s="91"/>
      <c r="B79" s="14"/>
      <c r="H79" s="15">
        <f t="shared" si="100"/>
        <v>0</v>
      </c>
      <c r="I79" s="18">
        <f t="shared" si="112"/>
        <v>0</v>
      </c>
      <c r="J79" s="15">
        <f t="shared" si="113"/>
        <v>0</v>
      </c>
      <c r="O79" s="15">
        <f t="shared" ref="O79:O143" si="116">COUNTIF(K79:N79,"PR")</f>
        <v>0</v>
      </c>
      <c r="P79" s="18">
        <f t="shared" si="114"/>
        <v>0</v>
      </c>
      <c r="Q79" s="15">
        <f t="shared" si="115"/>
        <v>0</v>
      </c>
      <c r="V79" s="15">
        <f t="shared" si="106"/>
        <v>0</v>
      </c>
      <c r="W79" s="15">
        <f t="shared" si="107"/>
        <v>0</v>
      </c>
      <c r="X79" s="15">
        <f t="shared" si="99"/>
        <v>0</v>
      </c>
      <c r="Y79" s="15">
        <f>J79+Q79+X79</f>
        <v>0</v>
      </c>
      <c r="Z79" s="15">
        <f>SUM(H79,O79,V79)</f>
        <v>0</v>
      </c>
      <c r="AA79" s="78" t="e">
        <f t="shared" si="78"/>
        <v>#DIV/0!</v>
      </c>
      <c r="AB79" s="78"/>
      <c r="AG79" s="15">
        <f t="shared" ref="AG79:AG143" si="117">COUNTIF(AC79:AF79,"PR")</f>
        <v>0</v>
      </c>
      <c r="AH79" s="15">
        <f t="shared" si="88"/>
        <v>0</v>
      </c>
      <c r="AI79" s="15">
        <f t="shared" si="89"/>
        <v>0</v>
      </c>
      <c r="AO79" s="15">
        <f t="shared" ref="AO79:AO143" si="118">COUNTIF(AJ79:AN79,"PR")</f>
        <v>0</v>
      </c>
      <c r="AP79" s="15">
        <f t="shared" si="90"/>
        <v>0</v>
      </c>
      <c r="AQ79" s="15">
        <f t="shared" si="91"/>
        <v>0</v>
      </c>
      <c r="AV79" s="15">
        <f>COUNTIF(AR79:AU79,"PR")</f>
        <v>0</v>
      </c>
      <c r="AW79" s="15">
        <f t="shared" si="108"/>
        <v>0</v>
      </c>
      <c r="AX79" s="15">
        <f t="shared" si="98"/>
        <v>0</v>
      </c>
      <c r="AY79" s="15">
        <f>AI79+AQ79+AX79</f>
        <v>0</v>
      </c>
      <c r="AZ79" s="15">
        <f>SUM(AG79,AO79,AV79)</f>
        <v>0</v>
      </c>
      <c r="BA79" s="78" t="e">
        <f t="shared" si="81"/>
        <v>#DIV/0!</v>
      </c>
      <c r="BD79" s="1"/>
      <c r="BF79" s="15">
        <f t="shared" ref="BF79:BF143" si="119">COUNTIF(BB79:BE79,"PR")</f>
        <v>0</v>
      </c>
      <c r="BG79" s="15">
        <f t="shared" si="92"/>
        <v>0</v>
      </c>
      <c r="BH79" s="15">
        <f t="shared" si="93"/>
        <v>0</v>
      </c>
      <c r="BN79" s="15">
        <f t="shared" ref="BN79:BN143" si="120">COUNTIF(BI79:BM79,"PR")</f>
        <v>0</v>
      </c>
      <c r="BO79" s="15">
        <f t="shared" si="109"/>
        <v>0</v>
      </c>
      <c r="BP79" s="15">
        <f t="shared" si="94"/>
        <v>0</v>
      </c>
      <c r="BU79" s="15">
        <f t="shared" ref="BU79:BU143" si="121">COUNTIF(BQ79:BT79,"PR")</f>
        <v>0</v>
      </c>
      <c r="BV79" s="15">
        <f t="shared" si="95"/>
        <v>0</v>
      </c>
      <c r="BW79" s="15">
        <f t="shared" si="101"/>
        <v>0</v>
      </c>
      <c r="BX79" s="15">
        <f t="shared" si="110"/>
        <v>0</v>
      </c>
      <c r="BY79" s="15">
        <f t="shared" si="111"/>
        <v>0</v>
      </c>
      <c r="BZ79" s="78" t="e">
        <f t="shared" si="102"/>
        <v>#DIV/0!</v>
      </c>
      <c r="CA79" s="78"/>
      <c r="CG79" s="15">
        <f>COUNTIF(CB79:CF79,"PR")</f>
        <v>0</v>
      </c>
      <c r="CH79" s="15">
        <f>COUNTIF(CB79:CF79,"AB")</f>
        <v>0</v>
      </c>
      <c r="CI79" s="15">
        <f t="shared" si="96"/>
        <v>0</v>
      </c>
      <c r="CN79" s="15">
        <f>COUNTIF(CJ79:CM79,"PR")</f>
        <v>0</v>
      </c>
      <c r="CO79" s="15">
        <f>COUNTIF(CJ79:CM79,"AB")</f>
        <v>0</v>
      </c>
      <c r="CP79" s="15">
        <f t="shared" si="97"/>
        <v>0</v>
      </c>
      <c r="CU79" s="15">
        <f t="shared" ref="CU79:CU143" si="122">COUNTIF(CQ79:CT79,"PR")</f>
        <v>0</v>
      </c>
      <c r="CV79" s="15">
        <f t="shared" si="103"/>
        <v>0</v>
      </c>
      <c r="CW79" s="15">
        <f t="shared" si="104"/>
        <v>0</v>
      </c>
      <c r="CX79" s="15">
        <f>CG79+CN79+CU79</f>
        <v>0</v>
      </c>
      <c r="CY79" s="15" t="e">
        <f>SUM(CE79,#REF!,CS79)</f>
        <v>#REF!</v>
      </c>
      <c r="CZ79" s="78" t="e">
        <f t="shared" si="105"/>
        <v>#REF!</v>
      </c>
      <c r="DA79" s="78"/>
    </row>
    <row r="80" spans="1:105">
      <c r="A80" s="91"/>
      <c r="B80" s="14"/>
      <c r="H80" s="15">
        <f t="shared" si="100"/>
        <v>0</v>
      </c>
      <c r="I80" s="18">
        <f t="shared" si="112"/>
        <v>0</v>
      </c>
      <c r="J80" s="15">
        <f t="shared" si="113"/>
        <v>0</v>
      </c>
      <c r="O80" s="15">
        <f t="shared" si="116"/>
        <v>0</v>
      </c>
      <c r="P80" s="18">
        <f t="shared" si="114"/>
        <v>0</v>
      </c>
      <c r="Q80" s="15">
        <f t="shared" si="115"/>
        <v>0</v>
      </c>
      <c r="V80" s="15">
        <f t="shared" si="106"/>
        <v>0</v>
      </c>
      <c r="W80" s="15">
        <f t="shared" si="107"/>
        <v>0</v>
      </c>
      <c r="X80" s="15">
        <f t="shared" si="99"/>
        <v>0</v>
      </c>
      <c r="Y80" s="15">
        <f>J80+Q80+X80</f>
        <v>0</v>
      </c>
      <c r="Z80" s="15">
        <f>SUM(H80,O80,V80)</f>
        <v>0</v>
      </c>
      <c r="AA80" s="78" t="e">
        <f t="shared" ref="AA80:AA144" si="123">Z80/Y80*100</f>
        <v>#DIV/0!</v>
      </c>
      <c r="AB80" s="78"/>
      <c r="AC80" s="76"/>
      <c r="AD80" s="72"/>
      <c r="AE80" s="72"/>
      <c r="AF80" s="72"/>
      <c r="AG80" s="15">
        <f t="shared" si="117"/>
        <v>0</v>
      </c>
      <c r="AH80" s="15">
        <f t="shared" si="88"/>
        <v>0</v>
      </c>
      <c r="AI80" s="15">
        <f t="shared" si="89"/>
        <v>0</v>
      </c>
      <c r="AJ80" s="76"/>
      <c r="AK80" s="72"/>
      <c r="AL80" s="72"/>
      <c r="AM80" s="72"/>
      <c r="AN80" s="72"/>
      <c r="AO80" s="15">
        <f t="shared" si="118"/>
        <v>0</v>
      </c>
      <c r="AP80" s="15">
        <f t="shared" si="90"/>
        <v>0</v>
      </c>
      <c r="AQ80" s="15">
        <f t="shared" si="91"/>
        <v>0</v>
      </c>
      <c r="AV80" s="15">
        <f>COUNTIF(AR80:AU80,"PR")</f>
        <v>0</v>
      </c>
      <c r="AW80" s="15">
        <f t="shared" si="108"/>
        <v>0</v>
      </c>
      <c r="AX80" s="15">
        <f t="shared" si="98"/>
        <v>0</v>
      </c>
      <c r="AY80" s="15">
        <f>AI80+AQ80+AX80</f>
        <v>0</v>
      </c>
      <c r="AZ80" s="15">
        <f>SUM(AG80,AO80,AV80)</f>
        <v>0</v>
      </c>
      <c r="BA80" s="78" t="e">
        <f t="shared" ref="BA80:BA144" si="124">AZ80/AY80*100</f>
        <v>#DIV/0!</v>
      </c>
      <c r="BD80" s="1"/>
      <c r="BF80" s="15">
        <f t="shared" si="119"/>
        <v>0</v>
      </c>
      <c r="BG80" s="15">
        <f t="shared" si="92"/>
        <v>0</v>
      </c>
      <c r="BH80" s="15">
        <f t="shared" si="93"/>
        <v>0</v>
      </c>
      <c r="BN80" s="15">
        <f t="shared" si="120"/>
        <v>0</v>
      </c>
      <c r="BO80" s="15">
        <f t="shared" si="109"/>
        <v>0</v>
      </c>
      <c r="BP80" s="15">
        <f t="shared" si="94"/>
        <v>0</v>
      </c>
      <c r="BU80" s="15">
        <f t="shared" si="121"/>
        <v>0</v>
      </c>
      <c r="BV80" s="15">
        <f t="shared" si="95"/>
        <v>0</v>
      </c>
      <c r="BW80" s="15">
        <f t="shared" si="101"/>
        <v>0</v>
      </c>
      <c r="BX80" s="15">
        <f t="shared" si="110"/>
        <v>0</v>
      </c>
      <c r="BY80" s="15">
        <f t="shared" si="111"/>
        <v>0</v>
      </c>
      <c r="BZ80" s="78" t="e">
        <f t="shared" ref="BZ80:BZ136" si="125">BY80/BX80*100</f>
        <v>#DIV/0!</v>
      </c>
      <c r="CA80" s="78"/>
      <c r="CG80" s="15">
        <f>COUNTIF(CB80:CF80,"PR")</f>
        <v>0</v>
      </c>
      <c r="CH80" s="15">
        <f>COUNTIF(CB80:CF80,"AB")</f>
        <v>0</v>
      </c>
      <c r="CI80" s="15">
        <f t="shared" si="96"/>
        <v>0</v>
      </c>
      <c r="CN80" s="15">
        <f>COUNTIF(CJ80:CM80,"PR")</f>
        <v>0</v>
      </c>
      <c r="CO80" s="15">
        <f>COUNTIF(CJ80:CM80,"AB")</f>
        <v>0</v>
      </c>
      <c r="CP80" s="15">
        <f t="shared" si="97"/>
        <v>0</v>
      </c>
      <c r="CU80" s="15">
        <f t="shared" si="122"/>
        <v>0</v>
      </c>
      <c r="CV80" s="15">
        <f t="shared" si="103"/>
        <v>0</v>
      </c>
      <c r="CW80" s="15">
        <f t="shared" si="104"/>
        <v>0</v>
      </c>
      <c r="CX80" s="15">
        <f>CG80+CN80+CU80</f>
        <v>0</v>
      </c>
      <c r="CY80" s="15" t="e">
        <f>SUM(CE80,#REF!,CS80)</f>
        <v>#REF!</v>
      </c>
      <c r="CZ80" s="78" t="e">
        <f t="shared" ref="CZ80:CZ144" si="126">CY80/CX80*100</f>
        <v>#REF!</v>
      </c>
      <c r="DA80" s="78"/>
    </row>
    <row r="81" spans="1:105">
      <c r="A81" s="91"/>
      <c r="B81" s="14"/>
      <c r="H81" s="15">
        <f t="shared" si="100"/>
        <v>0</v>
      </c>
      <c r="I81" s="18">
        <f t="shared" si="112"/>
        <v>0</v>
      </c>
      <c r="J81" s="15">
        <f t="shared" si="113"/>
        <v>0</v>
      </c>
      <c r="O81" s="15">
        <f t="shared" si="116"/>
        <v>0</v>
      </c>
      <c r="P81" s="18">
        <f t="shared" si="114"/>
        <v>0</v>
      </c>
      <c r="Q81" s="15">
        <f t="shared" si="115"/>
        <v>0</v>
      </c>
      <c r="V81" s="15">
        <f t="shared" si="106"/>
        <v>0</v>
      </c>
      <c r="W81" s="15">
        <f t="shared" si="107"/>
        <v>0</v>
      </c>
      <c r="X81" s="15">
        <f t="shared" si="99"/>
        <v>0</v>
      </c>
      <c r="Y81" s="15">
        <f>J81+Q81+X81</f>
        <v>0</v>
      </c>
      <c r="Z81" s="15">
        <f>SUM(H81,O81,V81)</f>
        <v>0</v>
      </c>
      <c r="AA81" s="78" t="e">
        <f t="shared" si="123"/>
        <v>#DIV/0!</v>
      </c>
      <c r="AB81" s="78"/>
      <c r="AG81" s="15">
        <f t="shared" si="117"/>
        <v>0</v>
      </c>
      <c r="AH81" s="15">
        <f t="shared" si="88"/>
        <v>0</v>
      </c>
      <c r="AI81" s="15">
        <f t="shared" si="89"/>
        <v>0</v>
      </c>
      <c r="AO81" s="15">
        <f t="shared" si="118"/>
        <v>0</v>
      </c>
      <c r="AP81" s="15">
        <f t="shared" si="90"/>
        <v>0</v>
      </c>
      <c r="AQ81" s="15">
        <f t="shared" si="91"/>
        <v>0</v>
      </c>
      <c r="AV81" s="15">
        <f>COUNTIF(AR81:AU81,"PR")</f>
        <v>0</v>
      </c>
      <c r="AW81" s="15">
        <f t="shared" si="108"/>
        <v>0</v>
      </c>
      <c r="AX81" s="15">
        <f t="shared" si="98"/>
        <v>0</v>
      </c>
      <c r="AY81" s="15">
        <f>AI81+AQ81+AX81</f>
        <v>0</v>
      </c>
      <c r="AZ81" s="15">
        <f>SUM(AG81,AO81,AV81)</f>
        <v>0</v>
      </c>
      <c r="BA81" s="78" t="e">
        <f t="shared" si="124"/>
        <v>#DIV/0!</v>
      </c>
      <c r="BD81" s="1"/>
      <c r="BF81" s="15">
        <f t="shared" si="119"/>
        <v>0</v>
      </c>
      <c r="BG81" s="15">
        <f t="shared" si="92"/>
        <v>0</v>
      </c>
      <c r="BH81" s="15">
        <f t="shared" si="93"/>
        <v>0</v>
      </c>
      <c r="BN81" s="15">
        <f t="shared" si="120"/>
        <v>0</v>
      </c>
      <c r="BO81" s="15">
        <f t="shared" si="109"/>
        <v>0</v>
      </c>
      <c r="BP81" s="15">
        <f t="shared" si="94"/>
        <v>0</v>
      </c>
      <c r="BU81" s="15">
        <f t="shared" si="121"/>
        <v>0</v>
      </c>
      <c r="BV81" s="15">
        <f t="shared" si="95"/>
        <v>0</v>
      </c>
      <c r="BW81" s="15">
        <f t="shared" si="101"/>
        <v>0</v>
      </c>
      <c r="BX81" s="15">
        <f t="shared" si="110"/>
        <v>0</v>
      </c>
      <c r="BY81" s="15">
        <f t="shared" si="111"/>
        <v>0</v>
      </c>
      <c r="BZ81" s="78" t="e">
        <f t="shared" si="125"/>
        <v>#DIV/0!</v>
      </c>
      <c r="CA81" s="78"/>
      <c r="CG81" s="15">
        <f>COUNTIF(CB81:CF81,"PR")</f>
        <v>0</v>
      </c>
      <c r="CH81" s="15">
        <f>COUNTIF(CB81:CF81,"AB")</f>
        <v>0</v>
      </c>
      <c r="CI81" s="15">
        <f t="shared" si="96"/>
        <v>0</v>
      </c>
      <c r="CN81" s="15">
        <f>COUNTIF(CJ81:CM81,"PR")</f>
        <v>0</v>
      </c>
      <c r="CO81" s="15">
        <f>COUNTIF(CJ81:CM81,"AB")</f>
        <v>0</v>
      </c>
      <c r="CP81" s="15">
        <f t="shared" si="97"/>
        <v>0</v>
      </c>
      <c r="CU81" s="15">
        <f t="shared" si="122"/>
        <v>0</v>
      </c>
      <c r="CV81" s="15">
        <f t="shared" si="103"/>
        <v>0</v>
      </c>
      <c r="CW81" s="15">
        <f t="shared" si="104"/>
        <v>0</v>
      </c>
      <c r="CX81" s="15">
        <f>CG81+CN81+CU81</f>
        <v>0</v>
      </c>
      <c r="CY81" s="15" t="e">
        <f>SUM(CE81,#REF!,CS81)</f>
        <v>#REF!</v>
      </c>
      <c r="CZ81" s="78" t="e">
        <f t="shared" si="126"/>
        <v>#REF!</v>
      </c>
      <c r="DA81" s="78"/>
    </row>
    <row r="82" spans="1:105">
      <c r="A82" s="91"/>
      <c r="B82" s="14"/>
      <c r="H82" s="15">
        <f t="shared" si="100"/>
        <v>0</v>
      </c>
      <c r="I82" s="18">
        <f t="shared" si="112"/>
        <v>0</v>
      </c>
      <c r="J82" s="15">
        <f t="shared" si="113"/>
        <v>0</v>
      </c>
      <c r="O82" s="15">
        <f t="shared" si="116"/>
        <v>0</v>
      </c>
      <c r="P82" s="18">
        <f t="shared" si="114"/>
        <v>0</v>
      </c>
      <c r="Q82" s="15">
        <f t="shared" si="115"/>
        <v>0</v>
      </c>
      <c r="V82" s="15">
        <f t="shared" si="106"/>
        <v>0</v>
      </c>
      <c r="W82" s="15">
        <f t="shared" si="107"/>
        <v>0</v>
      </c>
      <c r="X82" s="15">
        <f t="shared" si="99"/>
        <v>0</v>
      </c>
      <c r="Y82" s="15">
        <f>J82+Q82+X82</f>
        <v>0</v>
      </c>
      <c r="Z82" s="15">
        <f>SUM(H82,O82,V82)</f>
        <v>0</v>
      </c>
      <c r="AA82" s="78" t="e">
        <f t="shared" si="123"/>
        <v>#DIV/0!</v>
      </c>
      <c r="AB82" s="78"/>
      <c r="AG82" s="15">
        <f t="shared" si="117"/>
        <v>0</v>
      </c>
      <c r="AH82" s="15">
        <f t="shared" si="88"/>
        <v>0</v>
      </c>
      <c r="AI82" s="15">
        <f t="shared" si="89"/>
        <v>0</v>
      </c>
      <c r="AO82" s="15">
        <f t="shared" si="118"/>
        <v>0</v>
      </c>
      <c r="AP82" s="15">
        <f t="shared" si="90"/>
        <v>0</v>
      </c>
      <c r="AQ82" s="15">
        <f t="shared" si="91"/>
        <v>0</v>
      </c>
      <c r="AV82" s="15">
        <f>COUNTIF(AR82:AU82,"PR")</f>
        <v>0</v>
      </c>
      <c r="AW82" s="15">
        <f t="shared" si="108"/>
        <v>0</v>
      </c>
      <c r="AX82" s="15">
        <f t="shared" si="98"/>
        <v>0</v>
      </c>
      <c r="AY82" s="15">
        <f>AI82+AQ82+AX82</f>
        <v>0</v>
      </c>
      <c r="AZ82" s="15">
        <f>SUM(AG82,AO82,AV82)</f>
        <v>0</v>
      </c>
      <c r="BA82" s="78" t="e">
        <f t="shared" si="124"/>
        <v>#DIV/0!</v>
      </c>
      <c r="BD82" s="1"/>
      <c r="BF82" s="15">
        <f t="shared" si="119"/>
        <v>0</v>
      </c>
      <c r="BG82" s="15">
        <f t="shared" si="92"/>
        <v>0</v>
      </c>
      <c r="BH82" s="15">
        <f t="shared" si="93"/>
        <v>0</v>
      </c>
      <c r="BN82" s="15">
        <f t="shared" si="120"/>
        <v>0</v>
      </c>
      <c r="BO82" s="15">
        <f t="shared" si="109"/>
        <v>0</v>
      </c>
      <c r="BP82" s="15">
        <f t="shared" si="94"/>
        <v>0</v>
      </c>
      <c r="BU82" s="15">
        <f t="shared" si="121"/>
        <v>0</v>
      </c>
      <c r="BV82" s="15">
        <f t="shared" si="95"/>
        <v>0</v>
      </c>
      <c r="BW82" s="15">
        <f t="shared" si="101"/>
        <v>0</v>
      </c>
      <c r="BX82" s="15">
        <f t="shared" si="110"/>
        <v>0</v>
      </c>
      <c r="BY82" s="15">
        <f t="shared" si="111"/>
        <v>0</v>
      </c>
      <c r="BZ82" s="78" t="e">
        <f t="shared" si="125"/>
        <v>#DIV/0!</v>
      </c>
      <c r="CA82" s="78"/>
      <c r="CG82" s="15">
        <f>COUNTIF(CB82:CF82,"PR")</f>
        <v>0</v>
      </c>
      <c r="CH82" s="15">
        <f>COUNTIF(CB82:CF82,"AB")</f>
        <v>0</v>
      </c>
      <c r="CI82" s="15">
        <f t="shared" si="96"/>
        <v>0</v>
      </c>
      <c r="CN82" s="15">
        <f>COUNTIF(CJ82:CM82,"PR")</f>
        <v>0</v>
      </c>
      <c r="CO82" s="15">
        <f>COUNTIF(CJ82:CM82,"AB")</f>
        <v>0</v>
      </c>
      <c r="CP82" s="15">
        <f t="shared" si="97"/>
        <v>0</v>
      </c>
      <c r="CU82" s="15">
        <f t="shared" si="122"/>
        <v>0</v>
      </c>
      <c r="CV82" s="15">
        <f t="shared" si="103"/>
        <v>0</v>
      </c>
      <c r="CW82" s="15">
        <f t="shared" si="104"/>
        <v>0</v>
      </c>
      <c r="CX82" s="15">
        <f>CG82+CN82+CU82</f>
        <v>0</v>
      </c>
      <c r="CY82" s="15" t="e">
        <f>SUM(CE82,#REF!,CS82)</f>
        <v>#REF!</v>
      </c>
      <c r="CZ82" s="78" t="e">
        <f t="shared" si="126"/>
        <v>#REF!</v>
      </c>
      <c r="DA82" s="78"/>
    </row>
    <row r="83" spans="1:105">
      <c r="A83" s="91"/>
      <c r="B83" s="14"/>
      <c r="H83" s="15">
        <f t="shared" si="100"/>
        <v>0</v>
      </c>
      <c r="I83" s="18">
        <f t="shared" si="112"/>
        <v>0</v>
      </c>
      <c r="J83" s="15">
        <f t="shared" si="113"/>
        <v>0</v>
      </c>
      <c r="O83" s="15">
        <f t="shared" si="116"/>
        <v>0</v>
      </c>
      <c r="P83" s="18">
        <f t="shared" si="114"/>
        <v>0</v>
      </c>
      <c r="Q83" s="15">
        <f t="shared" si="115"/>
        <v>0</v>
      </c>
      <c r="V83" s="15">
        <f t="shared" si="106"/>
        <v>0</v>
      </c>
      <c r="W83" s="15">
        <f t="shared" si="107"/>
        <v>0</v>
      </c>
      <c r="X83" s="15">
        <f t="shared" si="99"/>
        <v>0</v>
      </c>
      <c r="Y83" s="15">
        <f>J83+Q83+X83</f>
        <v>0</v>
      </c>
      <c r="Z83" s="15">
        <f>SUM(H83,O83,V83)</f>
        <v>0</v>
      </c>
      <c r="AA83" s="78" t="e">
        <f t="shared" si="123"/>
        <v>#DIV/0!</v>
      </c>
      <c r="AB83" s="78"/>
      <c r="AG83" s="15">
        <f t="shared" si="117"/>
        <v>0</v>
      </c>
      <c r="AH83" s="15">
        <f t="shared" si="88"/>
        <v>0</v>
      </c>
      <c r="AI83" s="15">
        <f t="shared" si="89"/>
        <v>0</v>
      </c>
      <c r="AO83" s="15">
        <f t="shared" si="118"/>
        <v>0</v>
      </c>
      <c r="AP83" s="15">
        <f t="shared" si="90"/>
        <v>0</v>
      </c>
      <c r="AQ83" s="15">
        <f t="shared" si="91"/>
        <v>0</v>
      </c>
      <c r="AV83" s="15">
        <f>COUNTIF(AR83:AU83,"PR")</f>
        <v>0</v>
      </c>
      <c r="AW83" s="15">
        <f t="shared" si="108"/>
        <v>0</v>
      </c>
      <c r="AX83" s="15">
        <f t="shared" si="98"/>
        <v>0</v>
      </c>
      <c r="AY83" s="15">
        <f>AI83+AQ83+AX83</f>
        <v>0</v>
      </c>
      <c r="AZ83" s="15">
        <f>SUM(AG83,AO83,AV83)</f>
        <v>0</v>
      </c>
      <c r="BA83" s="78" t="e">
        <f t="shared" si="124"/>
        <v>#DIV/0!</v>
      </c>
      <c r="BD83" s="1"/>
      <c r="BF83" s="15">
        <f t="shared" si="119"/>
        <v>0</v>
      </c>
      <c r="BG83" s="15">
        <f t="shared" si="92"/>
        <v>0</v>
      </c>
      <c r="BH83" s="15">
        <f t="shared" si="93"/>
        <v>0</v>
      </c>
      <c r="BN83" s="15">
        <f t="shared" si="120"/>
        <v>0</v>
      </c>
      <c r="BO83" s="15">
        <f t="shared" si="109"/>
        <v>0</v>
      </c>
      <c r="BP83" s="15">
        <f t="shared" si="94"/>
        <v>0</v>
      </c>
      <c r="BU83" s="15">
        <f t="shared" si="121"/>
        <v>0</v>
      </c>
      <c r="BV83" s="15">
        <f t="shared" si="95"/>
        <v>0</v>
      </c>
      <c r="BW83" s="15">
        <f t="shared" si="101"/>
        <v>0</v>
      </c>
      <c r="BX83" s="15">
        <f t="shared" si="110"/>
        <v>0</v>
      </c>
      <c r="BY83" s="15">
        <f t="shared" si="111"/>
        <v>0</v>
      </c>
      <c r="BZ83" s="78" t="e">
        <f t="shared" si="125"/>
        <v>#DIV/0!</v>
      </c>
      <c r="CA83" s="78"/>
      <c r="CG83" s="15">
        <f>COUNTIF(CB83:CF83,"PR")</f>
        <v>0</v>
      </c>
      <c r="CH83" s="15">
        <f>COUNTIF(CB83:CF83,"AB")</f>
        <v>0</v>
      </c>
      <c r="CI83" s="15">
        <f t="shared" si="96"/>
        <v>0</v>
      </c>
      <c r="CN83" s="15">
        <f>COUNTIF(CJ83:CM83,"PR")</f>
        <v>0</v>
      </c>
      <c r="CO83" s="15">
        <f>COUNTIF(CJ83:CM83,"AB")</f>
        <v>0</v>
      </c>
      <c r="CP83" s="15">
        <f t="shared" si="97"/>
        <v>0</v>
      </c>
      <c r="CU83" s="15">
        <f t="shared" si="122"/>
        <v>0</v>
      </c>
      <c r="CV83" s="15">
        <f t="shared" si="103"/>
        <v>0</v>
      </c>
      <c r="CW83" s="15">
        <f t="shared" si="104"/>
        <v>0</v>
      </c>
      <c r="CX83" s="15">
        <f>CG83+CN83+CU83</f>
        <v>0</v>
      </c>
      <c r="CY83" s="15" t="e">
        <f>SUM(CE83,#REF!,CS83)</f>
        <v>#REF!</v>
      </c>
      <c r="CZ83" s="78" t="e">
        <f t="shared" si="126"/>
        <v>#REF!</v>
      </c>
      <c r="DA83" s="78"/>
    </row>
    <row r="84" spans="1:105">
      <c r="A84" s="91"/>
      <c r="B84" s="14"/>
      <c r="H84" s="15">
        <f t="shared" si="100"/>
        <v>0</v>
      </c>
      <c r="I84" s="18">
        <f t="shared" si="112"/>
        <v>0</v>
      </c>
      <c r="J84" s="15">
        <f t="shared" si="113"/>
        <v>0</v>
      </c>
      <c r="O84" s="15">
        <f t="shared" si="116"/>
        <v>0</v>
      </c>
      <c r="P84" s="18">
        <f t="shared" si="114"/>
        <v>0</v>
      </c>
      <c r="Q84" s="15">
        <f t="shared" si="115"/>
        <v>0</v>
      </c>
      <c r="V84" s="15">
        <f t="shared" si="106"/>
        <v>0</v>
      </c>
      <c r="W84" s="15">
        <f t="shared" si="107"/>
        <v>0</v>
      </c>
      <c r="X84" s="15">
        <f t="shared" si="99"/>
        <v>0</v>
      </c>
      <c r="Y84" s="15">
        <f>J84+Q84+X84</f>
        <v>0</v>
      </c>
      <c r="Z84" s="15">
        <f>SUM(H84,O84,V84)</f>
        <v>0</v>
      </c>
      <c r="AA84" s="78" t="e">
        <f t="shared" si="123"/>
        <v>#DIV/0!</v>
      </c>
      <c r="AB84" s="78"/>
      <c r="AG84" s="15">
        <f t="shared" si="117"/>
        <v>0</v>
      </c>
      <c r="AH84" s="15">
        <f t="shared" si="88"/>
        <v>0</v>
      </c>
      <c r="AI84" s="15">
        <f t="shared" si="89"/>
        <v>0</v>
      </c>
      <c r="AO84" s="15">
        <f t="shared" si="118"/>
        <v>0</v>
      </c>
      <c r="AP84" s="15">
        <f t="shared" si="90"/>
        <v>0</v>
      </c>
      <c r="AQ84" s="15">
        <f t="shared" si="91"/>
        <v>0</v>
      </c>
      <c r="AV84" s="15">
        <f>COUNTIF(AR84:AU84,"PR")</f>
        <v>0</v>
      </c>
      <c r="AW84" s="15">
        <f t="shared" si="108"/>
        <v>0</v>
      </c>
      <c r="AX84" s="15">
        <f t="shared" si="98"/>
        <v>0</v>
      </c>
      <c r="AY84" s="15">
        <f>AI84+AQ84+AX84</f>
        <v>0</v>
      </c>
      <c r="AZ84" s="15">
        <f>SUM(AG84,AO84,AV84)</f>
        <v>0</v>
      </c>
      <c r="BA84" s="78" t="e">
        <f t="shared" si="124"/>
        <v>#DIV/0!</v>
      </c>
      <c r="BD84" s="1"/>
      <c r="BF84" s="15">
        <f t="shared" si="119"/>
        <v>0</v>
      </c>
      <c r="BG84" s="15">
        <f t="shared" si="92"/>
        <v>0</v>
      </c>
      <c r="BH84" s="15">
        <f t="shared" si="93"/>
        <v>0</v>
      </c>
      <c r="BN84" s="15">
        <f t="shared" si="120"/>
        <v>0</v>
      </c>
      <c r="BO84" s="15">
        <f t="shared" si="109"/>
        <v>0</v>
      </c>
      <c r="BP84" s="15">
        <f t="shared" si="94"/>
        <v>0</v>
      </c>
      <c r="BU84" s="15">
        <f t="shared" si="121"/>
        <v>0</v>
      </c>
      <c r="BV84" s="15">
        <f t="shared" si="95"/>
        <v>0</v>
      </c>
      <c r="BW84" s="15">
        <f t="shared" si="101"/>
        <v>0</v>
      </c>
      <c r="BX84" s="15">
        <f t="shared" si="110"/>
        <v>0</v>
      </c>
      <c r="BY84" s="15">
        <f t="shared" si="111"/>
        <v>0</v>
      </c>
      <c r="BZ84" s="78" t="e">
        <f t="shared" si="125"/>
        <v>#DIV/0!</v>
      </c>
      <c r="CA84" s="78"/>
      <c r="CG84" s="15">
        <f>COUNTIF(CB84:CF84,"PR")</f>
        <v>0</v>
      </c>
      <c r="CH84" s="15">
        <f>COUNTIF(CB84:CF84,"AB")</f>
        <v>0</v>
      </c>
      <c r="CI84" s="15">
        <f t="shared" si="96"/>
        <v>0</v>
      </c>
      <c r="CN84" s="15">
        <f>COUNTIF(CJ84:CM84,"PR")</f>
        <v>0</v>
      </c>
      <c r="CO84" s="15">
        <f>COUNTIF(CJ84:CM84,"AB")</f>
        <v>0</v>
      </c>
      <c r="CP84" s="15">
        <f t="shared" si="97"/>
        <v>0</v>
      </c>
      <c r="CU84" s="15">
        <f t="shared" si="122"/>
        <v>0</v>
      </c>
      <c r="CV84" s="15">
        <f t="shared" si="103"/>
        <v>0</v>
      </c>
      <c r="CW84" s="15">
        <f t="shared" si="104"/>
        <v>0</v>
      </c>
      <c r="CX84" s="15">
        <f>CG84+CN84+CU84</f>
        <v>0</v>
      </c>
      <c r="CY84" s="15" t="e">
        <f>SUM(CE84,#REF!,CS84)</f>
        <v>#REF!</v>
      </c>
      <c r="CZ84" s="78" t="e">
        <f t="shared" si="126"/>
        <v>#REF!</v>
      </c>
      <c r="DA84" s="78"/>
    </row>
    <row r="85" spans="1:105">
      <c r="A85" s="91"/>
      <c r="B85" s="14"/>
      <c r="H85" s="15">
        <f t="shared" si="100"/>
        <v>0</v>
      </c>
      <c r="I85" s="18">
        <f t="shared" si="112"/>
        <v>0</v>
      </c>
      <c r="J85" s="15">
        <f t="shared" si="113"/>
        <v>0</v>
      </c>
      <c r="O85" s="15">
        <f t="shared" si="116"/>
        <v>0</v>
      </c>
      <c r="P85" s="18">
        <f t="shared" si="114"/>
        <v>0</v>
      </c>
      <c r="Q85" s="15">
        <f t="shared" si="115"/>
        <v>0</v>
      </c>
      <c r="V85" s="15">
        <f t="shared" si="106"/>
        <v>0</v>
      </c>
      <c r="W85" s="15">
        <f t="shared" si="107"/>
        <v>0</v>
      </c>
      <c r="X85" s="15">
        <f t="shared" si="99"/>
        <v>0</v>
      </c>
      <c r="Y85" s="15">
        <f>J85+Q85+X85</f>
        <v>0</v>
      </c>
      <c r="Z85" s="15">
        <f>SUM(H85,O85,V85)</f>
        <v>0</v>
      </c>
      <c r="AA85" s="78" t="e">
        <f t="shared" si="123"/>
        <v>#DIV/0!</v>
      </c>
      <c r="AB85" s="78"/>
      <c r="AG85" s="15">
        <f t="shared" si="117"/>
        <v>0</v>
      </c>
      <c r="AH85" s="15">
        <f t="shared" si="88"/>
        <v>0</v>
      </c>
      <c r="AI85" s="15">
        <f t="shared" si="89"/>
        <v>0</v>
      </c>
      <c r="AO85" s="15">
        <f t="shared" si="118"/>
        <v>0</v>
      </c>
      <c r="AP85" s="15">
        <f t="shared" si="90"/>
        <v>0</v>
      </c>
      <c r="AQ85" s="15">
        <f t="shared" si="91"/>
        <v>0</v>
      </c>
      <c r="AV85" s="15">
        <f>COUNTIF(AR85:AU85,"PR")</f>
        <v>0</v>
      </c>
      <c r="AW85" s="15">
        <f t="shared" si="108"/>
        <v>0</v>
      </c>
      <c r="AX85" s="15">
        <f t="shared" si="98"/>
        <v>0</v>
      </c>
      <c r="AY85" s="15">
        <f>AI85+AQ85+AX85</f>
        <v>0</v>
      </c>
      <c r="AZ85" s="15">
        <f>SUM(AG85,AO85,AV85)</f>
        <v>0</v>
      </c>
      <c r="BA85" s="78" t="e">
        <f t="shared" si="124"/>
        <v>#DIV/0!</v>
      </c>
      <c r="BD85" s="1"/>
      <c r="BF85" s="15">
        <f t="shared" si="119"/>
        <v>0</v>
      </c>
      <c r="BG85" s="15">
        <f t="shared" si="92"/>
        <v>0</v>
      </c>
      <c r="BH85" s="15">
        <f t="shared" si="93"/>
        <v>0</v>
      </c>
      <c r="BN85" s="15">
        <f t="shared" si="120"/>
        <v>0</v>
      </c>
      <c r="BO85" s="15">
        <f t="shared" si="109"/>
        <v>0</v>
      </c>
      <c r="BP85" s="15">
        <f t="shared" si="94"/>
        <v>0</v>
      </c>
      <c r="BU85" s="15">
        <f t="shared" si="121"/>
        <v>0</v>
      </c>
      <c r="BV85" s="15">
        <f t="shared" si="95"/>
        <v>0</v>
      </c>
      <c r="BW85" s="15">
        <f t="shared" si="101"/>
        <v>0</v>
      </c>
      <c r="BX85" s="15">
        <f t="shared" si="110"/>
        <v>0</v>
      </c>
      <c r="BY85" s="15">
        <f t="shared" si="111"/>
        <v>0</v>
      </c>
      <c r="BZ85" s="78" t="e">
        <f t="shared" si="125"/>
        <v>#DIV/0!</v>
      </c>
      <c r="CA85" s="78"/>
      <c r="CG85" s="15">
        <f>COUNTIF(CB85:CF85,"PR")</f>
        <v>0</v>
      </c>
      <c r="CH85" s="15">
        <f>COUNTIF(CB85:CF85,"AB")</f>
        <v>0</v>
      </c>
      <c r="CI85" s="15">
        <f t="shared" si="96"/>
        <v>0</v>
      </c>
      <c r="CN85" s="15">
        <f>COUNTIF(CJ85:CM85,"PR")</f>
        <v>0</v>
      </c>
      <c r="CO85" s="15">
        <f>COUNTIF(CJ85:CM85,"AB")</f>
        <v>0</v>
      </c>
      <c r="CP85" s="15">
        <f t="shared" si="97"/>
        <v>0</v>
      </c>
      <c r="CU85" s="15">
        <f t="shared" si="122"/>
        <v>0</v>
      </c>
      <c r="CV85" s="15">
        <f t="shared" si="103"/>
        <v>0</v>
      </c>
      <c r="CW85" s="15">
        <f t="shared" si="104"/>
        <v>0</v>
      </c>
      <c r="CX85" s="15">
        <f>CG85+CN85+CU85</f>
        <v>0</v>
      </c>
      <c r="CY85" s="15" t="e">
        <f>SUM(CE85,#REF!,CS85)</f>
        <v>#REF!</v>
      </c>
      <c r="CZ85" s="78" t="e">
        <f t="shared" si="126"/>
        <v>#REF!</v>
      </c>
      <c r="DA85" s="78"/>
    </row>
    <row r="86" spans="1:105">
      <c r="A86" s="91"/>
      <c r="B86" s="14"/>
      <c r="H86" s="15">
        <f t="shared" si="100"/>
        <v>0</v>
      </c>
      <c r="I86" s="18">
        <f t="shared" si="112"/>
        <v>0</v>
      </c>
      <c r="J86" s="15">
        <f t="shared" si="113"/>
        <v>0</v>
      </c>
      <c r="O86" s="15">
        <f t="shared" si="116"/>
        <v>0</v>
      </c>
      <c r="P86" s="18">
        <f t="shared" si="114"/>
        <v>0</v>
      </c>
      <c r="Q86" s="15">
        <f t="shared" si="115"/>
        <v>0</v>
      </c>
      <c r="V86" s="15">
        <f t="shared" si="106"/>
        <v>0</v>
      </c>
      <c r="W86" s="15">
        <f t="shared" si="107"/>
        <v>0</v>
      </c>
      <c r="X86" s="15">
        <f t="shared" si="99"/>
        <v>0</v>
      </c>
      <c r="Y86" s="15">
        <f>J86+Q86+X86</f>
        <v>0</v>
      </c>
      <c r="Z86" s="15">
        <f>SUM(H86,O86,V86)</f>
        <v>0</v>
      </c>
      <c r="AA86" s="78" t="e">
        <f t="shared" si="123"/>
        <v>#DIV/0!</v>
      </c>
      <c r="AB86" s="78"/>
      <c r="AG86" s="15">
        <f t="shared" si="117"/>
        <v>0</v>
      </c>
      <c r="AH86" s="15">
        <f t="shared" si="88"/>
        <v>0</v>
      </c>
      <c r="AI86" s="15">
        <f t="shared" si="89"/>
        <v>0</v>
      </c>
      <c r="AO86" s="15">
        <f t="shared" si="118"/>
        <v>0</v>
      </c>
      <c r="AP86" s="15">
        <f t="shared" si="90"/>
        <v>0</v>
      </c>
      <c r="AQ86" s="15">
        <f t="shared" si="91"/>
        <v>0</v>
      </c>
      <c r="AV86" s="15">
        <f>COUNTIF(AR86:AU86,"PR")</f>
        <v>0</v>
      </c>
      <c r="AW86" s="15">
        <f t="shared" si="108"/>
        <v>0</v>
      </c>
      <c r="AX86" s="15">
        <f t="shared" si="98"/>
        <v>0</v>
      </c>
      <c r="AY86" s="15">
        <f>AI86+AQ86+AX86</f>
        <v>0</v>
      </c>
      <c r="AZ86" s="15">
        <f>SUM(AG86,AO86,AV86)</f>
        <v>0</v>
      </c>
      <c r="BA86" s="78" t="e">
        <f t="shared" si="124"/>
        <v>#DIV/0!</v>
      </c>
      <c r="BD86" s="1"/>
      <c r="BF86" s="15">
        <f t="shared" si="119"/>
        <v>0</v>
      </c>
      <c r="BG86" s="15">
        <f t="shared" si="92"/>
        <v>0</v>
      </c>
      <c r="BH86" s="15">
        <f t="shared" si="93"/>
        <v>0</v>
      </c>
      <c r="BN86" s="15">
        <f t="shared" si="120"/>
        <v>0</v>
      </c>
      <c r="BO86" s="15">
        <f t="shared" si="109"/>
        <v>0</v>
      </c>
      <c r="BP86" s="15">
        <f t="shared" si="94"/>
        <v>0</v>
      </c>
      <c r="BU86" s="15">
        <f t="shared" si="121"/>
        <v>0</v>
      </c>
      <c r="BV86" s="15">
        <f t="shared" si="95"/>
        <v>0</v>
      </c>
      <c r="BW86" s="15">
        <f t="shared" si="101"/>
        <v>0</v>
      </c>
      <c r="BX86" s="15">
        <f t="shared" si="110"/>
        <v>0</v>
      </c>
      <c r="BY86" s="15">
        <f t="shared" si="111"/>
        <v>0</v>
      </c>
      <c r="BZ86" s="78" t="e">
        <f t="shared" si="125"/>
        <v>#DIV/0!</v>
      </c>
      <c r="CA86" s="78"/>
      <c r="CG86" s="15">
        <f>COUNTIF(CB86:CF86,"PR")</f>
        <v>0</v>
      </c>
      <c r="CH86" s="15">
        <f>COUNTIF(CB86:CF86,"AB")</f>
        <v>0</v>
      </c>
      <c r="CI86" s="15">
        <f t="shared" si="96"/>
        <v>0</v>
      </c>
      <c r="CN86" s="15">
        <f>COUNTIF(CJ86:CM86,"PR")</f>
        <v>0</v>
      </c>
      <c r="CO86" s="15">
        <f>COUNTIF(CJ86:CM86,"AB")</f>
        <v>0</v>
      </c>
      <c r="CP86" s="15">
        <f t="shared" si="97"/>
        <v>0</v>
      </c>
      <c r="CU86" s="15">
        <f t="shared" si="122"/>
        <v>0</v>
      </c>
      <c r="CV86" s="15">
        <f t="shared" si="103"/>
        <v>0</v>
      </c>
      <c r="CW86" s="15">
        <f t="shared" si="104"/>
        <v>0</v>
      </c>
      <c r="CX86" s="15">
        <f>CG86+CN86+CU86</f>
        <v>0</v>
      </c>
      <c r="CY86" s="15" t="e">
        <f>SUM(CE86,#REF!,CS86)</f>
        <v>#REF!</v>
      </c>
      <c r="CZ86" s="78" t="e">
        <f t="shared" si="126"/>
        <v>#REF!</v>
      </c>
      <c r="DA86" s="78"/>
    </row>
    <row r="87" spans="1:105">
      <c r="A87" s="91"/>
      <c r="B87" s="14"/>
      <c r="H87" s="15">
        <f t="shared" si="100"/>
        <v>0</v>
      </c>
      <c r="I87" s="18">
        <f t="shared" si="112"/>
        <v>0</v>
      </c>
      <c r="J87" s="15">
        <f t="shared" si="113"/>
        <v>0</v>
      </c>
      <c r="O87" s="15">
        <f t="shared" si="116"/>
        <v>0</v>
      </c>
      <c r="P87" s="18">
        <f t="shared" si="114"/>
        <v>0</v>
      </c>
      <c r="Q87" s="15">
        <f t="shared" si="115"/>
        <v>0</v>
      </c>
      <c r="V87" s="15">
        <f t="shared" si="106"/>
        <v>0</v>
      </c>
      <c r="W87" s="15">
        <f t="shared" si="107"/>
        <v>0</v>
      </c>
      <c r="X87" s="15">
        <f t="shared" si="99"/>
        <v>0</v>
      </c>
      <c r="Y87" s="15">
        <f>J87+Q87+X87</f>
        <v>0</v>
      </c>
      <c r="Z87" s="15">
        <f>SUM(H87,O87,V87)</f>
        <v>0</v>
      </c>
      <c r="AA87" s="78" t="e">
        <f t="shared" si="123"/>
        <v>#DIV/0!</v>
      </c>
      <c r="AB87" s="78"/>
      <c r="AG87" s="15">
        <f t="shared" si="117"/>
        <v>0</v>
      </c>
      <c r="AH87" s="15">
        <f t="shared" si="88"/>
        <v>0</v>
      </c>
      <c r="AI87" s="15">
        <f t="shared" si="89"/>
        <v>0</v>
      </c>
      <c r="AO87" s="15">
        <f t="shared" si="118"/>
        <v>0</v>
      </c>
      <c r="AP87" s="15">
        <f t="shared" si="90"/>
        <v>0</v>
      </c>
      <c r="AQ87" s="15">
        <f t="shared" si="91"/>
        <v>0</v>
      </c>
      <c r="AV87" s="15">
        <f>COUNTIF(AR87:AU87,"PR")</f>
        <v>0</v>
      </c>
      <c r="AW87" s="15">
        <f t="shared" si="108"/>
        <v>0</v>
      </c>
      <c r="AX87" s="15">
        <f t="shared" si="98"/>
        <v>0</v>
      </c>
      <c r="AY87" s="15">
        <f>AI87+AQ87+AX87</f>
        <v>0</v>
      </c>
      <c r="AZ87" s="15">
        <f>SUM(AG87,AO87,AV87)</f>
        <v>0</v>
      </c>
      <c r="BA87" s="78" t="e">
        <f t="shared" si="124"/>
        <v>#DIV/0!</v>
      </c>
      <c r="BD87" s="1"/>
      <c r="BF87" s="15">
        <f t="shared" si="119"/>
        <v>0</v>
      </c>
      <c r="BG87" s="15">
        <f t="shared" si="92"/>
        <v>0</v>
      </c>
      <c r="BH87" s="15">
        <f t="shared" si="93"/>
        <v>0</v>
      </c>
      <c r="BN87" s="15">
        <f t="shared" si="120"/>
        <v>0</v>
      </c>
      <c r="BO87" s="15">
        <f t="shared" si="109"/>
        <v>0</v>
      </c>
      <c r="BP87" s="15">
        <f t="shared" si="94"/>
        <v>0</v>
      </c>
      <c r="BU87" s="15">
        <f t="shared" si="121"/>
        <v>0</v>
      </c>
      <c r="BV87" s="15">
        <f t="shared" si="95"/>
        <v>0</v>
      </c>
      <c r="BW87" s="15">
        <f t="shared" si="101"/>
        <v>0</v>
      </c>
      <c r="BX87" s="15">
        <f t="shared" si="110"/>
        <v>0</v>
      </c>
      <c r="BY87" s="15">
        <f t="shared" si="111"/>
        <v>0</v>
      </c>
      <c r="BZ87" s="78" t="e">
        <f t="shared" si="125"/>
        <v>#DIV/0!</v>
      </c>
      <c r="CA87" s="78"/>
      <c r="CG87" s="15">
        <f>COUNTIF(CB87:CF87,"PR")</f>
        <v>0</v>
      </c>
      <c r="CH87" s="15">
        <f>COUNTIF(CB87:CF87,"AB")</f>
        <v>0</v>
      </c>
      <c r="CI87" s="15">
        <f t="shared" si="96"/>
        <v>0</v>
      </c>
      <c r="CN87" s="15">
        <f>COUNTIF(CJ87:CM87,"PR")</f>
        <v>0</v>
      </c>
      <c r="CO87" s="15">
        <f>COUNTIF(CJ87:CM87,"AB")</f>
        <v>0</v>
      </c>
      <c r="CP87" s="15">
        <f t="shared" si="97"/>
        <v>0</v>
      </c>
      <c r="CU87" s="15">
        <f t="shared" si="122"/>
        <v>0</v>
      </c>
      <c r="CV87" s="15">
        <f t="shared" si="103"/>
        <v>0</v>
      </c>
      <c r="CW87" s="15">
        <f t="shared" si="104"/>
        <v>0</v>
      </c>
      <c r="CX87" s="15">
        <f>CG87+CN87+CU87</f>
        <v>0</v>
      </c>
      <c r="CY87" s="15" t="e">
        <f>SUM(CE87,#REF!,CS87)</f>
        <v>#REF!</v>
      </c>
      <c r="CZ87" s="78" t="e">
        <f t="shared" si="126"/>
        <v>#REF!</v>
      </c>
      <c r="DA87" s="78"/>
    </row>
    <row r="88" spans="1:105">
      <c r="A88" s="91"/>
      <c r="B88" s="14"/>
      <c r="H88" s="15">
        <f t="shared" si="100"/>
        <v>0</v>
      </c>
      <c r="I88" s="18">
        <f t="shared" si="112"/>
        <v>0</v>
      </c>
      <c r="J88" s="15">
        <f t="shared" si="113"/>
        <v>0</v>
      </c>
      <c r="O88" s="15">
        <f t="shared" si="116"/>
        <v>0</v>
      </c>
      <c r="P88" s="18">
        <f t="shared" si="114"/>
        <v>0</v>
      </c>
      <c r="Q88" s="15">
        <f t="shared" si="115"/>
        <v>0</v>
      </c>
      <c r="V88" s="15">
        <f t="shared" si="106"/>
        <v>0</v>
      </c>
      <c r="W88" s="15">
        <f t="shared" si="107"/>
        <v>0</v>
      </c>
      <c r="X88" s="15">
        <f t="shared" si="99"/>
        <v>0</v>
      </c>
      <c r="Y88" s="15">
        <f>J88+Q88+X88</f>
        <v>0</v>
      </c>
      <c r="Z88" s="15">
        <f>SUM(H88,O88,V88)</f>
        <v>0</v>
      </c>
      <c r="AA88" s="78" t="e">
        <f t="shared" si="123"/>
        <v>#DIV/0!</v>
      </c>
      <c r="AB88" s="78"/>
      <c r="AC88" s="76"/>
      <c r="AD88" s="72"/>
      <c r="AE88" s="72"/>
      <c r="AF88" s="72"/>
      <c r="AG88" s="15">
        <f t="shared" si="117"/>
        <v>0</v>
      </c>
      <c r="AH88" s="15">
        <f t="shared" si="88"/>
        <v>0</v>
      </c>
      <c r="AI88" s="15">
        <f t="shared" si="89"/>
        <v>0</v>
      </c>
      <c r="AO88" s="15">
        <f t="shared" si="118"/>
        <v>0</v>
      </c>
      <c r="AP88" s="15">
        <f t="shared" si="90"/>
        <v>0</v>
      </c>
      <c r="AQ88" s="15">
        <f t="shared" si="91"/>
        <v>0</v>
      </c>
      <c r="AV88" s="15">
        <f>COUNTIF(AR88:AU88,"PR")</f>
        <v>0</v>
      </c>
      <c r="AW88" s="15">
        <f t="shared" si="108"/>
        <v>0</v>
      </c>
      <c r="AX88" s="15">
        <f t="shared" si="98"/>
        <v>0</v>
      </c>
      <c r="AY88" s="15">
        <f>AI88+AQ88+AX88</f>
        <v>0</v>
      </c>
      <c r="AZ88" s="15">
        <f>SUM(AG88,AO88,AV88)</f>
        <v>0</v>
      </c>
      <c r="BA88" s="78" t="e">
        <f t="shared" si="124"/>
        <v>#DIV/0!</v>
      </c>
      <c r="BD88" s="1"/>
      <c r="BF88" s="15">
        <f t="shared" si="119"/>
        <v>0</v>
      </c>
      <c r="BG88" s="15">
        <f t="shared" si="92"/>
        <v>0</v>
      </c>
      <c r="BH88" s="15">
        <f t="shared" si="93"/>
        <v>0</v>
      </c>
      <c r="BN88" s="15">
        <f t="shared" si="120"/>
        <v>0</v>
      </c>
      <c r="BO88" s="15">
        <f t="shared" si="109"/>
        <v>0</v>
      </c>
      <c r="BP88" s="15">
        <f t="shared" si="94"/>
        <v>0</v>
      </c>
      <c r="BU88" s="15">
        <f t="shared" si="121"/>
        <v>0</v>
      </c>
      <c r="BV88" s="15">
        <f t="shared" si="95"/>
        <v>0</v>
      </c>
      <c r="BW88" s="15">
        <f t="shared" si="101"/>
        <v>0</v>
      </c>
      <c r="BX88" s="15">
        <f t="shared" si="110"/>
        <v>0</v>
      </c>
      <c r="BY88" s="15">
        <f t="shared" si="111"/>
        <v>0</v>
      </c>
      <c r="BZ88" s="78" t="e">
        <f t="shared" si="125"/>
        <v>#DIV/0!</v>
      </c>
      <c r="CA88" s="78"/>
      <c r="CG88" s="15">
        <f>COUNTIF(CB88:CF88,"PR")</f>
        <v>0</v>
      </c>
      <c r="CH88" s="15">
        <f>COUNTIF(CB88:CF88,"AB")</f>
        <v>0</v>
      </c>
      <c r="CI88" s="15">
        <f t="shared" si="96"/>
        <v>0</v>
      </c>
      <c r="CN88" s="15">
        <f>COUNTIF(CJ88:CM88,"PR")</f>
        <v>0</v>
      </c>
      <c r="CO88" s="15">
        <f>COUNTIF(CJ88:CM88,"AB")</f>
        <v>0</v>
      </c>
      <c r="CP88" s="15">
        <f t="shared" si="97"/>
        <v>0</v>
      </c>
      <c r="CU88" s="15">
        <f t="shared" si="122"/>
        <v>0</v>
      </c>
      <c r="CV88" s="15">
        <f t="shared" si="103"/>
        <v>0</v>
      </c>
      <c r="CW88" s="15">
        <f t="shared" si="104"/>
        <v>0</v>
      </c>
      <c r="CX88" s="15">
        <f>CG88+CN88+CU88</f>
        <v>0</v>
      </c>
      <c r="CY88" s="15" t="e">
        <f>SUM(CE88,#REF!,CS88)</f>
        <v>#REF!</v>
      </c>
      <c r="CZ88" s="78" t="e">
        <f t="shared" si="126"/>
        <v>#REF!</v>
      </c>
      <c r="DA88" s="78"/>
    </row>
    <row r="89" spans="1:105">
      <c r="A89" s="91"/>
      <c r="B89" s="14"/>
      <c r="H89" s="15">
        <f t="shared" si="100"/>
        <v>0</v>
      </c>
      <c r="I89" s="18">
        <f t="shared" si="112"/>
        <v>0</v>
      </c>
      <c r="J89" s="15">
        <f t="shared" si="113"/>
        <v>0</v>
      </c>
      <c r="O89" s="15">
        <f t="shared" si="116"/>
        <v>0</v>
      </c>
      <c r="P89" s="18">
        <f t="shared" si="114"/>
        <v>0</v>
      </c>
      <c r="Q89" s="15">
        <f t="shared" si="115"/>
        <v>0</v>
      </c>
      <c r="V89" s="15">
        <f t="shared" si="106"/>
        <v>0</v>
      </c>
      <c r="W89" s="15">
        <f t="shared" si="107"/>
        <v>0</v>
      </c>
      <c r="X89" s="15">
        <f t="shared" si="99"/>
        <v>0</v>
      </c>
      <c r="Y89" s="15">
        <f>J89+Q89+X89</f>
        <v>0</v>
      </c>
      <c r="Z89" s="15">
        <f>SUM(H89,O89,V89)</f>
        <v>0</v>
      </c>
      <c r="AA89" s="78" t="e">
        <f t="shared" si="123"/>
        <v>#DIV/0!</v>
      </c>
      <c r="AB89" s="78"/>
      <c r="AG89" s="15">
        <f t="shared" si="117"/>
        <v>0</v>
      </c>
      <c r="AH89" s="15">
        <f t="shared" si="88"/>
        <v>0</v>
      </c>
      <c r="AI89" s="15">
        <f t="shared" si="89"/>
        <v>0</v>
      </c>
      <c r="AO89" s="15">
        <f t="shared" si="118"/>
        <v>0</v>
      </c>
      <c r="AP89" s="15">
        <f t="shared" si="90"/>
        <v>0</v>
      </c>
      <c r="AQ89" s="15">
        <f t="shared" si="91"/>
        <v>0</v>
      </c>
      <c r="AV89" s="15">
        <f>COUNTIF(AR89:AU89,"PR")</f>
        <v>0</v>
      </c>
      <c r="AW89" s="15">
        <f t="shared" si="108"/>
        <v>0</v>
      </c>
      <c r="AX89" s="15">
        <f t="shared" si="98"/>
        <v>0</v>
      </c>
      <c r="AY89" s="15">
        <f>AI89+AQ89+AX89</f>
        <v>0</v>
      </c>
      <c r="AZ89" s="15">
        <f>SUM(AG89,AO89,AV89)</f>
        <v>0</v>
      </c>
      <c r="BA89" s="78" t="e">
        <f t="shared" si="124"/>
        <v>#DIV/0!</v>
      </c>
      <c r="BD89" s="1"/>
      <c r="BF89" s="15">
        <f t="shared" si="119"/>
        <v>0</v>
      </c>
      <c r="BG89" s="15">
        <f t="shared" si="92"/>
        <v>0</v>
      </c>
      <c r="BH89" s="15">
        <f t="shared" si="93"/>
        <v>0</v>
      </c>
      <c r="BN89" s="15">
        <f t="shared" si="120"/>
        <v>0</v>
      </c>
      <c r="BO89" s="15">
        <f t="shared" si="109"/>
        <v>0</v>
      </c>
      <c r="BP89" s="15">
        <f t="shared" si="94"/>
        <v>0</v>
      </c>
      <c r="BU89" s="15">
        <f t="shared" si="121"/>
        <v>0</v>
      </c>
      <c r="BV89" s="15">
        <f t="shared" si="95"/>
        <v>0</v>
      </c>
      <c r="BW89" s="15">
        <f t="shared" si="101"/>
        <v>0</v>
      </c>
      <c r="BX89" s="15">
        <f t="shared" si="110"/>
        <v>0</v>
      </c>
      <c r="BY89" s="15">
        <f t="shared" si="111"/>
        <v>0</v>
      </c>
      <c r="BZ89" s="78" t="e">
        <f t="shared" si="125"/>
        <v>#DIV/0!</v>
      </c>
      <c r="CA89" s="78"/>
      <c r="CG89" s="15">
        <f>COUNTIF(CB89:CF89,"PR")</f>
        <v>0</v>
      </c>
      <c r="CH89" s="15">
        <f>COUNTIF(CB89:CF89,"AB")</f>
        <v>0</v>
      </c>
      <c r="CI89" s="15">
        <f t="shared" si="96"/>
        <v>0</v>
      </c>
      <c r="CN89" s="15">
        <f>COUNTIF(CJ89:CM89,"PR")</f>
        <v>0</v>
      </c>
      <c r="CO89" s="15">
        <f>COUNTIF(CJ89:CM89,"AB")</f>
        <v>0</v>
      </c>
      <c r="CP89" s="15">
        <f t="shared" si="97"/>
        <v>0</v>
      </c>
      <c r="CU89" s="15">
        <f t="shared" si="122"/>
        <v>0</v>
      </c>
      <c r="CV89" s="15">
        <f t="shared" si="103"/>
        <v>0</v>
      </c>
      <c r="CW89" s="15">
        <f t="shared" si="104"/>
        <v>0</v>
      </c>
      <c r="CX89" s="15">
        <f>CG89+CN89+CU89</f>
        <v>0</v>
      </c>
      <c r="CY89" s="15" t="e">
        <f>SUM(CE89,#REF!,CS89)</f>
        <v>#REF!</v>
      </c>
      <c r="CZ89" s="78" t="e">
        <f t="shared" si="126"/>
        <v>#REF!</v>
      </c>
      <c r="DA89" s="78"/>
    </row>
    <row r="90" spans="1:105">
      <c r="A90" s="91"/>
      <c r="B90" s="14"/>
      <c r="H90" s="15">
        <f t="shared" si="100"/>
        <v>0</v>
      </c>
      <c r="I90" s="18">
        <f t="shared" si="112"/>
        <v>0</v>
      </c>
      <c r="J90" s="15">
        <f t="shared" si="113"/>
        <v>0</v>
      </c>
      <c r="O90" s="15">
        <f t="shared" si="116"/>
        <v>0</v>
      </c>
      <c r="P90" s="18">
        <f t="shared" si="114"/>
        <v>0</v>
      </c>
      <c r="Q90" s="15">
        <f t="shared" si="115"/>
        <v>0</v>
      </c>
      <c r="V90" s="15">
        <f t="shared" si="106"/>
        <v>0</v>
      </c>
      <c r="W90" s="15">
        <f t="shared" si="107"/>
        <v>0</v>
      </c>
      <c r="X90" s="15">
        <f t="shared" si="99"/>
        <v>0</v>
      </c>
      <c r="Y90" s="15">
        <f>J90+Q90+X90</f>
        <v>0</v>
      </c>
      <c r="Z90" s="15">
        <f>SUM(H90,O90,V90)</f>
        <v>0</v>
      </c>
      <c r="AA90" s="78" t="e">
        <f t="shared" si="123"/>
        <v>#DIV/0!</v>
      </c>
      <c r="AB90" s="78"/>
      <c r="AG90" s="15">
        <f t="shared" si="117"/>
        <v>0</v>
      </c>
      <c r="AH90" s="15">
        <f t="shared" si="88"/>
        <v>0</v>
      </c>
      <c r="AI90" s="15">
        <f t="shared" si="89"/>
        <v>0</v>
      </c>
      <c r="AO90" s="15">
        <f t="shared" si="118"/>
        <v>0</v>
      </c>
      <c r="AP90" s="15">
        <f t="shared" si="90"/>
        <v>0</v>
      </c>
      <c r="AQ90" s="15">
        <f t="shared" si="91"/>
        <v>0</v>
      </c>
      <c r="AV90" s="15">
        <f>COUNTIF(AR90:AU90,"PR")</f>
        <v>0</v>
      </c>
      <c r="AW90" s="15">
        <f t="shared" si="108"/>
        <v>0</v>
      </c>
      <c r="AX90" s="15">
        <f t="shared" si="98"/>
        <v>0</v>
      </c>
      <c r="AY90" s="15">
        <f>AI90+AQ90+AX90</f>
        <v>0</v>
      </c>
      <c r="AZ90" s="15">
        <f>SUM(AG90,AO90,AV90)</f>
        <v>0</v>
      </c>
      <c r="BA90" s="78" t="e">
        <f t="shared" si="124"/>
        <v>#DIV/0!</v>
      </c>
      <c r="BD90" s="1"/>
      <c r="BF90" s="15">
        <f t="shared" si="119"/>
        <v>0</v>
      </c>
      <c r="BG90" s="15">
        <f t="shared" si="92"/>
        <v>0</v>
      </c>
      <c r="BH90" s="15">
        <f t="shared" si="93"/>
        <v>0</v>
      </c>
      <c r="BN90" s="15">
        <f t="shared" si="120"/>
        <v>0</v>
      </c>
      <c r="BO90" s="15">
        <f t="shared" si="109"/>
        <v>0</v>
      </c>
      <c r="BP90" s="15">
        <f t="shared" si="94"/>
        <v>0</v>
      </c>
      <c r="BU90" s="15">
        <f t="shared" si="121"/>
        <v>0</v>
      </c>
      <c r="BV90" s="15">
        <f t="shared" si="95"/>
        <v>0</v>
      </c>
      <c r="BW90" s="15">
        <f t="shared" si="101"/>
        <v>0</v>
      </c>
      <c r="BX90" s="15">
        <f t="shared" si="110"/>
        <v>0</v>
      </c>
      <c r="BY90" s="15">
        <f t="shared" si="111"/>
        <v>0</v>
      </c>
      <c r="BZ90" s="78" t="e">
        <f t="shared" si="125"/>
        <v>#DIV/0!</v>
      </c>
      <c r="CA90" s="78"/>
      <c r="CG90" s="15">
        <f>COUNTIF(CB90:CF90,"PR")</f>
        <v>0</v>
      </c>
      <c r="CH90" s="15">
        <f>COUNTIF(CB90:CF90,"AB")</f>
        <v>0</v>
      </c>
      <c r="CI90" s="15">
        <f t="shared" si="96"/>
        <v>0</v>
      </c>
      <c r="CN90" s="15">
        <f>COUNTIF(CJ90:CM90,"PR")</f>
        <v>0</v>
      </c>
      <c r="CO90" s="15">
        <f>COUNTIF(CJ90:CM90,"AB")</f>
        <v>0</v>
      </c>
      <c r="CP90" s="15">
        <f t="shared" si="97"/>
        <v>0</v>
      </c>
      <c r="CU90" s="15">
        <f t="shared" si="122"/>
        <v>0</v>
      </c>
      <c r="CV90" s="15">
        <f t="shared" si="103"/>
        <v>0</v>
      </c>
      <c r="CW90" s="15">
        <f t="shared" si="104"/>
        <v>0</v>
      </c>
      <c r="CX90" s="15">
        <f>CG90+CN90+CU90</f>
        <v>0</v>
      </c>
      <c r="CY90" s="15" t="e">
        <f>SUM(CE90,#REF!,CS90)</f>
        <v>#REF!</v>
      </c>
      <c r="CZ90" s="78" t="e">
        <f t="shared" si="126"/>
        <v>#REF!</v>
      </c>
      <c r="DA90" s="78"/>
    </row>
    <row r="91" spans="1:105">
      <c r="A91" s="91"/>
      <c r="B91" s="14"/>
      <c r="H91" s="15">
        <f t="shared" si="100"/>
        <v>0</v>
      </c>
      <c r="I91" s="18">
        <f t="shared" si="112"/>
        <v>0</v>
      </c>
      <c r="J91" s="15">
        <f t="shared" si="113"/>
        <v>0</v>
      </c>
      <c r="O91" s="15">
        <f t="shared" si="116"/>
        <v>0</v>
      </c>
      <c r="P91" s="18">
        <f t="shared" si="114"/>
        <v>0</v>
      </c>
      <c r="Q91" s="15">
        <f t="shared" si="115"/>
        <v>0</v>
      </c>
      <c r="V91" s="15">
        <f t="shared" si="106"/>
        <v>0</v>
      </c>
      <c r="W91" s="15">
        <f t="shared" si="107"/>
        <v>0</v>
      </c>
      <c r="X91" s="15">
        <f t="shared" si="99"/>
        <v>0</v>
      </c>
      <c r="Y91" s="15">
        <f>J91+Q91+X91</f>
        <v>0</v>
      </c>
      <c r="Z91" s="15">
        <f>SUM(H91,O91,V91)</f>
        <v>0</v>
      </c>
      <c r="AA91" s="78" t="e">
        <f t="shared" si="123"/>
        <v>#DIV/0!</v>
      </c>
      <c r="AB91" s="78"/>
      <c r="AG91" s="15">
        <f t="shared" si="117"/>
        <v>0</v>
      </c>
      <c r="AH91" s="15">
        <f t="shared" si="88"/>
        <v>0</v>
      </c>
      <c r="AI91" s="15">
        <f t="shared" si="89"/>
        <v>0</v>
      </c>
      <c r="AO91" s="15">
        <f t="shared" si="118"/>
        <v>0</v>
      </c>
      <c r="AP91" s="15">
        <f t="shared" si="90"/>
        <v>0</v>
      </c>
      <c r="AQ91" s="15">
        <f t="shared" si="91"/>
        <v>0</v>
      </c>
      <c r="AV91" s="15">
        <f>COUNTIF(AR91:AU91,"PR")</f>
        <v>0</v>
      </c>
      <c r="AW91" s="15">
        <f t="shared" si="108"/>
        <v>0</v>
      </c>
      <c r="AX91" s="15">
        <f t="shared" si="98"/>
        <v>0</v>
      </c>
      <c r="AY91" s="15">
        <f>AI91+AQ91+AX91</f>
        <v>0</v>
      </c>
      <c r="AZ91" s="15">
        <f>SUM(AG91,AO91,AV91)</f>
        <v>0</v>
      </c>
      <c r="BA91" s="78" t="e">
        <f t="shared" si="124"/>
        <v>#DIV/0!</v>
      </c>
      <c r="BD91" s="1"/>
      <c r="BF91" s="15">
        <f t="shared" si="119"/>
        <v>0</v>
      </c>
      <c r="BG91" s="15">
        <f t="shared" si="92"/>
        <v>0</v>
      </c>
      <c r="BH91" s="15">
        <f t="shared" si="93"/>
        <v>0</v>
      </c>
      <c r="BN91" s="15">
        <f t="shared" si="120"/>
        <v>0</v>
      </c>
      <c r="BO91" s="15">
        <f t="shared" si="109"/>
        <v>0</v>
      </c>
      <c r="BP91" s="15">
        <f t="shared" si="94"/>
        <v>0</v>
      </c>
      <c r="BU91" s="15">
        <f t="shared" si="121"/>
        <v>0</v>
      </c>
      <c r="BV91" s="15">
        <f t="shared" si="95"/>
        <v>0</v>
      </c>
      <c r="BW91" s="15">
        <f t="shared" si="101"/>
        <v>0</v>
      </c>
      <c r="BX91" s="15">
        <f t="shared" si="110"/>
        <v>0</v>
      </c>
      <c r="BY91" s="15">
        <f t="shared" si="111"/>
        <v>0</v>
      </c>
      <c r="BZ91" s="78" t="e">
        <f t="shared" si="125"/>
        <v>#DIV/0!</v>
      </c>
      <c r="CA91" s="78"/>
      <c r="CG91" s="15">
        <f>COUNTIF(CB91:CF91,"PR")</f>
        <v>0</v>
      </c>
      <c r="CH91" s="15">
        <f>COUNTIF(CB91:CF91,"AB")</f>
        <v>0</v>
      </c>
      <c r="CI91" s="15">
        <f t="shared" si="96"/>
        <v>0</v>
      </c>
      <c r="CN91" s="15">
        <f>COUNTIF(CJ91:CM91,"PR")</f>
        <v>0</v>
      </c>
      <c r="CO91" s="15">
        <f>COUNTIF(CJ91:CM91,"AB")</f>
        <v>0</v>
      </c>
      <c r="CP91" s="15">
        <f t="shared" si="97"/>
        <v>0</v>
      </c>
      <c r="CU91" s="15">
        <f t="shared" si="122"/>
        <v>0</v>
      </c>
      <c r="CV91" s="15">
        <f t="shared" si="103"/>
        <v>0</v>
      </c>
      <c r="CW91" s="15">
        <f t="shared" si="104"/>
        <v>0</v>
      </c>
      <c r="CX91" s="15">
        <f>CG91+CN91+CU91</f>
        <v>0</v>
      </c>
      <c r="CY91" s="15" t="e">
        <f>SUM(CE91,#REF!,CS91)</f>
        <v>#REF!</v>
      </c>
      <c r="CZ91" s="78" t="e">
        <f t="shared" si="126"/>
        <v>#REF!</v>
      </c>
      <c r="DA91" s="78"/>
    </row>
    <row r="92" spans="1:105">
      <c r="A92" s="91"/>
      <c r="B92" s="14"/>
      <c r="H92" s="15">
        <f t="shared" si="100"/>
        <v>0</v>
      </c>
      <c r="I92" s="18">
        <f t="shared" si="112"/>
        <v>0</v>
      </c>
      <c r="J92" s="15">
        <f t="shared" si="113"/>
        <v>0</v>
      </c>
      <c r="O92" s="15">
        <f t="shared" si="116"/>
        <v>0</v>
      </c>
      <c r="P92" s="18">
        <f t="shared" si="114"/>
        <v>0</v>
      </c>
      <c r="Q92" s="15">
        <f t="shared" si="115"/>
        <v>0</v>
      </c>
      <c r="V92" s="15">
        <f t="shared" si="106"/>
        <v>0</v>
      </c>
      <c r="W92" s="15">
        <f t="shared" si="107"/>
        <v>0</v>
      </c>
      <c r="X92" s="15">
        <f t="shared" si="99"/>
        <v>0</v>
      </c>
      <c r="Y92" s="15">
        <f>J92+Q92+X92</f>
        <v>0</v>
      </c>
      <c r="Z92" s="15">
        <f>SUM(H92,O92,V92)</f>
        <v>0</v>
      </c>
      <c r="AA92" s="78" t="e">
        <f t="shared" si="123"/>
        <v>#DIV/0!</v>
      </c>
      <c r="AB92" s="78"/>
      <c r="AG92" s="15">
        <f t="shared" si="117"/>
        <v>0</v>
      </c>
      <c r="AH92" s="15">
        <f t="shared" si="88"/>
        <v>0</v>
      </c>
      <c r="AI92" s="15">
        <f t="shared" si="89"/>
        <v>0</v>
      </c>
      <c r="AO92" s="15">
        <f t="shared" si="118"/>
        <v>0</v>
      </c>
      <c r="AP92" s="15">
        <f t="shared" si="90"/>
        <v>0</v>
      </c>
      <c r="AQ92" s="15">
        <f t="shared" si="91"/>
        <v>0</v>
      </c>
      <c r="AV92" s="15">
        <f>COUNTIF(AR92:AU92,"PR")</f>
        <v>0</v>
      </c>
      <c r="AW92" s="15">
        <f t="shared" si="108"/>
        <v>0</v>
      </c>
      <c r="AX92" s="15">
        <f t="shared" si="98"/>
        <v>0</v>
      </c>
      <c r="AY92" s="15">
        <f>AI92+AQ92+AX92</f>
        <v>0</v>
      </c>
      <c r="AZ92" s="15">
        <f>SUM(AG92,AO92,AV92)</f>
        <v>0</v>
      </c>
      <c r="BA92" s="78" t="e">
        <f t="shared" si="124"/>
        <v>#DIV/0!</v>
      </c>
      <c r="BD92" s="1"/>
      <c r="BF92" s="15">
        <f t="shared" si="119"/>
        <v>0</v>
      </c>
      <c r="BG92" s="15">
        <f t="shared" si="92"/>
        <v>0</v>
      </c>
      <c r="BH92" s="15">
        <f t="shared" si="93"/>
        <v>0</v>
      </c>
      <c r="BN92" s="15">
        <f t="shared" si="120"/>
        <v>0</v>
      </c>
      <c r="BO92" s="15">
        <f t="shared" si="109"/>
        <v>0</v>
      </c>
      <c r="BP92" s="15">
        <f t="shared" si="94"/>
        <v>0</v>
      </c>
      <c r="BU92" s="15">
        <f t="shared" si="121"/>
        <v>0</v>
      </c>
      <c r="BV92" s="15">
        <f t="shared" si="95"/>
        <v>0</v>
      </c>
      <c r="BW92" s="15">
        <f t="shared" si="101"/>
        <v>0</v>
      </c>
      <c r="BX92" s="15">
        <f t="shared" si="110"/>
        <v>0</v>
      </c>
      <c r="BY92" s="15">
        <f t="shared" si="111"/>
        <v>0</v>
      </c>
      <c r="BZ92" s="78" t="e">
        <f t="shared" si="125"/>
        <v>#DIV/0!</v>
      </c>
      <c r="CA92" s="78"/>
      <c r="CG92" s="15">
        <f>COUNTIF(CB92:CF92,"PR")</f>
        <v>0</v>
      </c>
      <c r="CH92" s="15">
        <f>COUNTIF(CB92:CF92,"AB")</f>
        <v>0</v>
      </c>
      <c r="CI92" s="15">
        <f t="shared" si="96"/>
        <v>0</v>
      </c>
      <c r="CN92" s="15">
        <f>COUNTIF(CJ92:CM92,"PR")</f>
        <v>0</v>
      </c>
      <c r="CO92" s="15">
        <f>COUNTIF(CJ92:CM92,"AB")</f>
        <v>0</v>
      </c>
      <c r="CP92" s="15">
        <f t="shared" si="97"/>
        <v>0</v>
      </c>
      <c r="CU92" s="15">
        <f t="shared" si="122"/>
        <v>0</v>
      </c>
      <c r="CV92" s="15">
        <f t="shared" si="103"/>
        <v>0</v>
      </c>
      <c r="CW92" s="15">
        <f t="shared" si="104"/>
        <v>0</v>
      </c>
      <c r="CX92" s="15">
        <f>CG92+CN92+CU92</f>
        <v>0</v>
      </c>
      <c r="CY92" s="15" t="e">
        <f>SUM(CE92,#REF!,CS92)</f>
        <v>#REF!</v>
      </c>
      <c r="CZ92" s="78" t="e">
        <f t="shared" si="126"/>
        <v>#REF!</v>
      </c>
      <c r="DA92" s="78"/>
    </row>
    <row r="93" spans="1:105">
      <c r="A93" s="91"/>
      <c r="B93" s="14"/>
      <c r="H93" s="15">
        <f t="shared" si="100"/>
        <v>0</v>
      </c>
      <c r="I93" s="18">
        <f t="shared" si="112"/>
        <v>0</v>
      </c>
      <c r="J93" s="15">
        <f t="shared" si="113"/>
        <v>0</v>
      </c>
      <c r="O93" s="15">
        <f t="shared" si="116"/>
        <v>0</v>
      </c>
      <c r="P93" s="18">
        <f t="shared" si="114"/>
        <v>0</v>
      </c>
      <c r="Q93" s="15">
        <f t="shared" si="115"/>
        <v>0</v>
      </c>
      <c r="V93" s="15">
        <f t="shared" si="106"/>
        <v>0</v>
      </c>
      <c r="W93" s="15">
        <f t="shared" si="107"/>
        <v>0</v>
      </c>
      <c r="X93" s="15">
        <f t="shared" si="99"/>
        <v>0</v>
      </c>
      <c r="Y93" s="15">
        <f>J93+Q93+X93</f>
        <v>0</v>
      </c>
      <c r="Z93" s="15">
        <f>SUM(H93,O93,V93)</f>
        <v>0</v>
      </c>
      <c r="AA93" s="78" t="e">
        <f t="shared" si="123"/>
        <v>#DIV/0!</v>
      </c>
      <c r="AB93" s="78"/>
      <c r="AG93" s="15">
        <f t="shared" si="117"/>
        <v>0</v>
      </c>
      <c r="AH93" s="15">
        <f t="shared" si="88"/>
        <v>0</v>
      </c>
      <c r="AI93" s="15">
        <f t="shared" si="89"/>
        <v>0</v>
      </c>
      <c r="AO93" s="15">
        <f t="shared" si="118"/>
        <v>0</v>
      </c>
      <c r="AP93" s="15">
        <f t="shared" si="90"/>
        <v>0</v>
      </c>
      <c r="AQ93" s="15">
        <f t="shared" si="91"/>
        <v>0</v>
      </c>
      <c r="AV93" s="15">
        <f>COUNTIF(AR93:AU93,"PR")</f>
        <v>0</v>
      </c>
      <c r="AW93" s="15">
        <f t="shared" si="108"/>
        <v>0</v>
      </c>
      <c r="AX93" s="15">
        <f t="shared" si="98"/>
        <v>0</v>
      </c>
      <c r="AY93" s="15">
        <f>AI93+AQ93+AX93</f>
        <v>0</v>
      </c>
      <c r="AZ93" s="15">
        <f>SUM(AG93,AO93,AV93)</f>
        <v>0</v>
      </c>
      <c r="BA93" s="78" t="e">
        <f t="shared" si="124"/>
        <v>#DIV/0!</v>
      </c>
      <c r="BD93" s="1"/>
      <c r="BF93" s="15">
        <f t="shared" si="119"/>
        <v>0</v>
      </c>
      <c r="BG93" s="15">
        <f t="shared" si="92"/>
        <v>0</v>
      </c>
      <c r="BH93" s="15">
        <f t="shared" si="93"/>
        <v>0</v>
      </c>
      <c r="BN93" s="15">
        <f t="shared" si="120"/>
        <v>0</v>
      </c>
      <c r="BO93" s="15">
        <f t="shared" si="109"/>
        <v>0</v>
      </c>
      <c r="BP93" s="15">
        <f t="shared" si="94"/>
        <v>0</v>
      </c>
      <c r="BU93" s="15">
        <f t="shared" si="121"/>
        <v>0</v>
      </c>
      <c r="BV93" s="15">
        <f t="shared" si="95"/>
        <v>0</v>
      </c>
      <c r="BW93" s="15">
        <f t="shared" si="101"/>
        <v>0</v>
      </c>
      <c r="BX93" s="15">
        <f t="shared" si="110"/>
        <v>0</v>
      </c>
      <c r="BY93" s="15">
        <f t="shared" si="111"/>
        <v>0</v>
      </c>
      <c r="BZ93" s="78" t="e">
        <f t="shared" si="125"/>
        <v>#DIV/0!</v>
      </c>
      <c r="CA93" s="78"/>
      <c r="CG93" s="15">
        <f>COUNTIF(CB93:CF93,"PR")</f>
        <v>0</v>
      </c>
      <c r="CH93" s="15">
        <f>COUNTIF(CB93:CF93,"AB")</f>
        <v>0</v>
      </c>
      <c r="CI93" s="15">
        <f t="shared" si="96"/>
        <v>0</v>
      </c>
      <c r="CN93" s="15">
        <f>COUNTIF(CJ93:CM93,"PR")</f>
        <v>0</v>
      </c>
      <c r="CO93" s="15">
        <f>COUNTIF(CJ93:CM93,"AB")</f>
        <v>0</v>
      </c>
      <c r="CP93" s="15">
        <f t="shared" si="97"/>
        <v>0</v>
      </c>
      <c r="CU93" s="15">
        <f t="shared" si="122"/>
        <v>0</v>
      </c>
      <c r="CV93" s="15">
        <f t="shared" si="103"/>
        <v>0</v>
      </c>
      <c r="CW93" s="15">
        <f t="shared" si="104"/>
        <v>0</v>
      </c>
      <c r="CX93" s="15">
        <f>CG93+CN93+CU93</f>
        <v>0</v>
      </c>
      <c r="CY93" s="15" t="e">
        <f>SUM(CE93,#REF!,CS93)</f>
        <v>#REF!</v>
      </c>
      <c r="CZ93" s="78" t="e">
        <f t="shared" si="126"/>
        <v>#REF!</v>
      </c>
      <c r="DA93" s="78"/>
    </row>
    <row r="94" spans="1:105">
      <c r="A94" s="91"/>
      <c r="B94" s="14"/>
      <c r="H94" s="15">
        <f t="shared" si="100"/>
        <v>0</v>
      </c>
      <c r="I94" s="18">
        <f t="shared" si="112"/>
        <v>0</v>
      </c>
      <c r="J94" s="15">
        <f t="shared" si="113"/>
        <v>0</v>
      </c>
      <c r="O94" s="15">
        <f t="shared" si="116"/>
        <v>0</v>
      </c>
      <c r="P94" s="18">
        <f t="shared" si="114"/>
        <v>0</v>
      </c>
      <c r="Q94" s="15">
        <f t="shared" si="115"/>
        <v>0</v>
      </c>
      <c r="V94" s="15">
        <f t="shared" si="106"/>
        <v>0</v>
      </c>
      <c r="W94" s="15">
        <f t="shared" si="107"/>
        <v>0</v>
      </c>
      <c r="X94" s="15">
        <f t="shared" si="99"/>
        <v>0</v>
      </c>
      <c r="Y94" s="15">
        <f>J94+Q94+X94</f>
        <v>0</v>
      </c>
      <c r="Z94" s="15">
        <f>SUM(H94,O94,V94)</f>
        <v>0</v>
      </c>
      <c r="AA94" s="78" t="e">
        <f t="shared" si="123"/>
        <v>#DIV/0!</v>
      </c>
      <c r="AB94" s="78"/>
      <c r="AG94" s="15">
        <f t="shared" si="117"/>
        <v>0</v>
      </c>
      <c r="AH94" s="15">
        <f t="shared" si="88"/>
        <v>0</v>
      </c>
      <c r="AI94" s="15">
        <f t="shared" si="89"/>
        <v>0</v>
      </c>
      <c r="AO94" s="15">
        <f t="shared" si="118"/>
        <v>0</v>
      </c>
      <c r="AP94" s="15">
        <f t="shared" si="90"/>
        <v>0</v>
      </c>
      <c r="AQ94" s="15">
        <f t="shared" si="91"/>
        <v>0</v>
      </c>
      <c r="AV94" s="15">
        <f>COUNTIF(AR94:AU94,"PR")</f>
        <v>0</v>
      </c>
      <c r="AW94" s="15">
        <f t="shared" si="108"/>
        <v>0</v>
      </c>
      <c r="AX94" s="15">
        <f t="shared" si="98"/>
        <v>0</v>
      </c>
      <c r="AY94" s="15">
        <f>AI94+AQ94+AX94</f>
        <v>0</v>
      </c>
      <c r="AZ94" s="15">
        <f>SUM(AG94,AO94,AV94)</f>
        <v>0</v>
      </c>
      <c r="BA94" s="78" t="e">
        <f t="shared" si="124"/>
        <v>#DIV/0!</v>
      </c>
      <c r="BD94" s="1"/>
      <c r="BF94" s="15">
        <f t="shared" si="119"/>
        <v>0</v>
      </c>
      <c r="BG94" s="15">
        <f t="shared" si="92"/>
        <v>0</v>
      </c>
      <c r="BH94" s="15">
        <f t="shared" si="93"/>
        <v>0</v>
      </c>
      <c r="BN94" s="15">
        <f t="shared" si="120"/>
        <v>0</v>
      </c>
      <c r="BO94" s="15">
        <f t="shared" si="109"/>
        <v>0</v>
      </c>
      <c r="BP94" s="15">
        <f t="shared" si="94"/>
        <v>0</v>
      </c>
      <c r="BU94" s="15">
        <f t="shared" si="121"/>
        <v>0</v>
      </c>
      <c r="BV94" s="15">
        <f t="shared" si="95"/>
        <v>0</v>
      </c>
      <c r="BW94" s="15">
        <f t="shared" si="101"/>
        <v>0</v>
      </c>
      <c r="BX94" s="15">
        <f t="shared" si="110"/>
        <v>0</v>
      </c>
      <c r="BY94" s="15">
        <f t="shared" si="111"/>
        <v>0</v>
      </c>
      <c r="BZ94" s="78" t="e">
        <f t="shared" si="125"/>
        <v>#DIV/0!</v>
      </c>
      <c r="CA94" s="78"/>
      <c r="CG94" s="15">
        <f>COUNTIF(CB94:CF94,"PR")</f>
        <v>0</v>
      </c>
      <c r="CH94" s="15">
        <f>COUNTIF(CB94:CF94,"AB")</f>
        <v>0</v>
      </c>
      <c r="CI94" s="15">
        <f t="shared" si="96"/>
        <v>0</v>
      </c>
      <c r="CN94" s="15">
        <f>COUNTIF(CJ94:CM94,"PR")</f>
        <v>0</v>
      </c>
      <c r="CO94" s="15">
        <f>COUNTIF(CJ94:CM94,"AB")</f>
        <v>0</v>
      </c>
      <c r="CP94" s="15">
        <f t="shared" si="97"/>
        <v>0</v>
      </c>
      <c r="CU94" s="15">
        <f t="shared" si="122"/>
        <v>0</v>
      </c>
      <c r="CV94" s="15">
        <f t="shared" si="103"/>
        <v>0</v>
      </c>
      <c r="CW94" s="15">
        <f t="shared" si="104"/>
        <v>0</v>
      </c>
      <c r="CX94" s="15">
        <f>CG94+CN94+CU94</f>
        <v>0</v>
      </c>
      <c r="CY94" s="15" t="e">
        <f>SUM(CE94,#REF!,CS94)</f>
        <v>#REF!</v>
      </c>
      <c r="CZ94" s="78" t="e">
        <f t="shared" si="126"/>
        <v>#REF!</v>
      </c>
      <c r="DA94" s="78"/>
    </row>
    <row r="95" spans="1:105">
      <c r="A95" s="91"/>
      <c r="B95" s="14"/>
      <c r="H95" s="15">
        <f t="shared" si="100"/>
        <v>0</v>
      </c>
      <c r="I95" s="18">
        <f t="shared" si="112"/>
        <v>0</v>
      </c>
      <c r="J95" s="15">
        <f t="shared" si="113"/>
        <v>0</v>
      </c>
      <c r="O95" s="15">
        <f t="shared" si="116"/>
        <v>0</v>
      </c>
      <c r="P95" s="18">
        <f t="shared" si="114"/>
        <v>0</v>
      </c>
      <c r="Q95" s="15">
        <f t="shared" si="115"/>
        <v>0</v>
      </c>
      <c r="V95" s="15">
        <f t="shared" si="106"/>
        <v>0</v>
      </c>
      <c r="W95" s="15">
        <f t="shared" si="107"/>
        <v>0</v>
      </c>
      <c r="X95" s="15">
        <f t="shared" si="99"/>
        <v>0</v>
      </c>
      <c r="Y95" s="15">
        <f>J95+Q95+X95</f>
        <v>0</v>
      </c>
      <c r="Z95" s="15">
        <f>SUM(H95,O95,V95)</f>
        <v>0</v>
      </c>
      <c r="AA95" s="78" t="e">
        <f t="shared" si="123"/>
        <v>#DIV/0!</v>
      </c>
      <c r="AB95" s="78"/>
      <c r="AG95" s="15">
        <f t="shared" si="117"/>
        <v>0</v>
      </c>
      <c r="AH95" s="15">
        <f t="shared" ref="AH95:AH159" si="127">COUNTIF(AC95:AF95,"AB")</f>
        <v>0</v>
      </c>
      <c r="AI95" s="15">
        <f t="shared" ref="AI95:AI159" si="128">AG95+AH95</f>
        <v>0</v>
      </c>
      <c r="AO95" s="15">
        <f t="shared" si="118"/>
        <v>0</v>
      </c>
      <c r="AP95" s="15">
        <f t="shared" ref="AP95:AP159" si="129">COUNTIF(AJ95:AN95,"AB")</f>
        <v>0</v>
      </c>
      <c r="AQ95" s="15">
        <f t="shared" ref="AQ95:AQ159" si="130">AO95+AP95</f>
        <v>0</v>
      </c>
      <c r="AV95" s="15">
        <f>COUNTIF(AR95:AU95,"PR")</f>
        <v>0</v>
      </c>
      <c r="AW95" s="15">
        <f t="shared" si="108"/>
        <v>0</v>
      </c>
      <c r="AX95" s="15">
        <f t="shared" si="98"/>
        <v>0</v>
      </c>
      <c r="AY95" s="15">
        <f>AI95+AQ95+AX95</f>
        <v>0</v>
      </c>
      <c r="AZ95" s="15">
        <f>SUM(AG95,AO95,AV95)</f>
        <v>0</v>
      </c>
      <c r="BA95" s="78" t="e">
        <f t="shared" si="124"/>
        <v>#DIV/0!</v>
      </c>
      <c r="BD95" s="1"/>
      <c r="BF95" s="15">
        <f t="shared" si="119"/>
        <v>0</v>
      </c>
      <c r="BG95" s="15">
        <f t="shared" ref="BG95:BG159" si="131">COUNTIF(BB95:BE95,"AB")</f>
        <v>0</v>
      </c>
      <c r="BH95" s="15">
        <f t="shared" ref="BH95:BH159" si="132">BF95+BG95</f>
        <v>0</v>
      </c>
      <c r="BN95" s="15">
        <f t="shared" si="120"/>
        <v>0</v>
      </c>
      <c r="BO95" s="15">
        <f t="shared" si="109"/>
        <v>0</v>
      </c>
      <c r="BP95" s="15">
        <f t="shared" ref="BP95:BP159" si="133">BN95+BO95</f>
        <v>0</v>
      </c>
      <c r="BU95" s="15">
        <f t="shared" si="121"/>
        <v>0</v>
      </c>
      <c r="BV95" s="15">
        <f t="shared" ref="BV95:BV159" si="134">COUNTIF(BQ95:BT95,"AB")</f>
        <v>0</v>
      </c>
      <c r="BW95" s="15">
        <f t="shared" ref="BW95:BW159" si="135">BU95+BV95</f>
        <v>0</v>
      </c>
      <c r="BX95" s="15">
        <f t="shared" si="110"/>
        <v>0</v>
      </c>
      <c r="BY95" s="15">
        <f t="shared" si="111"/>
        <v>0</v>
      </c>
      <c r="BZ95" s="78" t="e">
        <f t="shared" si="125"/>
        <v>#DIV/0!</v>
      </c>
      <c r="CA95" s="78"/>
      <c r="CG95" s="15">
        <f>COUNTIF(CB95:CF95,"PR")</f>
        <v>0</v>
      </c>
      <c r="CH95" s="15">
        <f>COUNTIF(CB95:CF95,"AB")</f>
        <v>0</v>
      </c>
      <c r="CI95" s="15">
        <f t="shared" ref="CI95:CI159" si="136">CG95+CH95</f>
        <v>0</v>
      </c>
      <c r="CN95" s="15">
        <f>COUNTIF(CJ95:CM95,"PR")</f>
        <v>0</v>
      </c>
      <c r="CO95" s="15">
        <f>COUNTIF(CJ95:CM95,"AB")</f>
        <v>0</v>
      </c>
      <c r="CP95" s="15">
        <f t="shared" ref="CP95:CP159" si="137">CN95+CO95</f>
        <v>0</v>
      </c>
      <c r="CU95" s="15">
        <f t="shared" si="122"/>
        <v>0</v>
      </c>
      <c r="CV95" s="15">
        <f t="shared" si="103"/>
        <v>0</v>
      </c>
      <c r="CW95" s="15">
        <f t="shared" si="104"/>
        <v>0</v>
      </c>
      <c r="CX95" s="15">
        <f>CG95+CN95+CU95</f>
        <v>0</v>
      </c>
      <c r="CY95" s="15" t="e">
        <f>SUM(CE95,#REF!,CS95)</f>
        <v>#REF!</v>
      </c>
      <c r="CZ95" s="78" t="e">
        <f t="shared" si="126"/>
        <v>#REF!</v>
      </c>
      <c r="DA95" s="78"/>
    </row>
    <row r="96" spans="1:105">
      <c r="A96" s="91"/>
      <c r="B96" s="14"/>
      <c r="H96" s="15">
        <f t="shared" si="100"/>
        <v>0</v>
      </c>
      <c r="I96" s="18">
        <f t="shared" si="112"/>
        <v>0</v>
      </c>
      <c r="J96" s="15">
        <f t="shared" si="113"/>
        <v>0</v>
      </c>
      <c r="O96" s="15">
        <f t="shared" si="116"/>
        <v>0</v>
      </c>
      <c r="P96" s="18">
        <f t="shared" si="114"/>
        <v>0</v>
      </c>
      <c r="Q96" s="15">
        <f t="shared" si="115"/>
        <v>0</v>
      </c>
      <c r="V96" s="15">
        <f t="shared" si="106"/>
        <v>0</v>
      </c>
      <c r="W96" s="15">
        <f t="shared" si="107"/>
        <v>0</v>
      </c>
      <c r="X96" s="15">
        <f t="shared" si="99"/>
        <v>0</v>
      </c>
      <c r="Y96" s="15">
        <f>J96+Q96+X96</f>
        <v>0</v>
      </c>
      <c r="Z96" s="15">
        <f>SUM(H96,O96,V96)</f>
        <v>0</v>
      </c>
      <c r="AA96" s="78" t="e">
        <f t="shared" si="123"/>
        <v>#DIV/0!</v>
      </c>
      <c r="AB96" s="78"/>
      <c r="AC96" s="76"/>
      <c r="AD96" s="72"/>
      <c r="AE96" s="72"/>
      <c r="AF96" s="72"/>
      <c r="AG96" s="15">
        <f t="shared" si="117"/>
        <v>0</v>
      </c>
      <c r="AH96" s="15">
        <f t="shared" si="127"/>
        <v>0</v>
      </c>
      <c r="AI96" s="15">
        <f t="shared" si="128"/>
        <v>0</v>
      </c>
      <c r="AO96" s="15">
        <f t="shared" si="118"/>
        <v>0</v>
      </c>
      <c r="AP96" s="15">
        <f t="shared" si="129"/>
        <v>0</v>
      </c>
      <c r="AQ96" s="15">
        <f t="shared" si="130"/>
        <v>0</v>
      </c>
      <c r="AV96" s="15">
        <f>COUNTIF(AR96:AU96,"PR")</f>
        <v>0</v>
      </c>
      <c r="AW96" s="15">
        <f t="shared" si="108"/>
        <v>0</v>
      </c>
      <c r="AX96" s="15">
        <f t="shared" ref="AX96:AX160" si="138">AV96+AW96</f>
        <v>0</v>
      </c>
      <c r="AY96" s="15">
        <f>AI96+AQ96+AX96</f>
        <v>0</v>
      </c>
      <c r="AZ96" s="15">
        <f>SUM(AG96,AO96,AV96)</f>
        <v>0</v>
      </c>
      <c r="BA96" s="78" t="e">
        <f t="shared" si="124"/>
        <v>#DIV/0!</v>
      </c>
      <c r="BD96" s="1"/>
      <c r="BF96" s="15">
        <f t="shared" si="119"/>
        <v>0</v>
      </c>
      <c r="BG96" s="15">
        <f t="shared" si="131"/>
        <v>0</v>
      </c>
      <c r="BH96" s="15">
        <f t="shared" si="132"/>
        <v>0</v>
      </c>
      <c r="BN96" s="15">
        <f t="shared" si="120"/>
        <v>0</v>
      </c>
      <c r="BO96" s="15">
        <f t="shared" si="109"/>
        <v>0</v>
      </c>
      <c r="BP96" s="15">
        <f t="shared" si="133"/>
        <v>0</v>
      </c>
      <c r="BU96" s="15">
        <f t="shared" si="121"/>
        <v>0</v>
      </c>
      <c r="BV96" s="15">
        <f t="shared" si="134"/>
        <v>0</v>
      </c>
      <c r="BW96" s="15">
        <f t="shared" si="135"/>
        <v>0</v>
      </c>
      <c r="BX96" s="15">
        <f t="shared" si="110"/>
        <v>0</v>
      </c>
      <c r="BY96" s="15">
        <f t="shared" si="111"/>
        <v>0</v>
      </c>
      <c r="BZ96" s="78" t="e">
        <f t="shared" si="125"/>
        <v>#DIV/0!</v>
      </c>
      <c r="CA96" s="78"/>
      <c r="CG96" s="15">
        <f>COUNTIF(CB96:CF96,"PR")</f>
        <v>0</v>
      </c>
      <c r="CH96" s="15">
        <f>COUNTIF(CB96:CF96,"AB")</f>
        <v>0</v>
      </c>
      <c r="CI96" s="15">
        <f t="shared" si="136"/>
        <v>0</v>
      </c>
      <c r="CN96" s="15">
        <f>COUNTIF(CJ96:CM96,"PR")</f>
        <v>0</v>
      </c>
      <c r="CO96" s="15">
        <f>COUNTIF(CJ96:CM96,"AB")</f>
        <v>0</v>
      </c>
      <c r="CP96" s="15">
        <f t="shared" si="137"/>
        <v>0</v>
      </c>
      <c r="CU96" s="15">
        <f t="shared" si="122"/>
        <v>0</v>
      </c>
      <c r="CV96" s="15">
        <f t="shared" si="103"/>
        <v>0</v>
      </c>
      <c r="CW96" s="15">
        <f t="shared" si="104"/>
        <v>0</v>
      </c>
      <c r="CX96" s="15">
        <f>CG96+CN96+CU96</f>
        <v>0</v>
      </c>
      <c r="CY96" s="15" t="e">
        <f>SUM(CE96,#REF!,CS96)</f>
        <v>#REF!</v>
      </c>
      <c r="CZ96" s="78" t="e">
        <f t="shared" si="126"/>
        <v>#REF!</v>
      </c>
      <c r="DA96" s="78"/>
    </row>
    <row r="97" spans="1:105">
      <c r="A97" s="91"/>
      <c r="B97" s="14"/>
      <c r="H97" s="15">
        <f t="shared" si="100"/>
        <v>0</v>
      </c>
      <c r="I97" s="18">
        <f t="shared" si="112"/>
        <v>0</v>
      </c>
      <c r="J97" s="15">
        <f t="shared" si="113"/>
        <v>0</v>
      </c>
      <c r="O97" s="15">
        <f t="shared" si="116"/>
        <v>0</v>
      </c>
      <c r="P97" s="18">
        <f t="shared" si="114"/>
        <v>0</v>
      </c>
      <c r="Q97" s="15">
        <f t="shared" si="115"/>
        <v>0</v>
      </c>
      <c r="V97" s="15">
        <f t="shared" si="106"/>
        <v>0</v>
      </c>
      <c r="W97" s="15">
        <f t="shared" si="107"/>
        <v>0</v>
      </c>
      <c r="X97" s="15">
        <f t="shared" ref="X97:X161" si="139">V97+W97</f>
        <v>0</v>
      </c>
      <c r="Y97" s="15">
        <f>J97+Q97+X97</f>
        <v>0</v>
      </c>
      <c r="Z97" s="15">
        <f>SUM(H97,O97,V97)</f>
        <v>0</v>
      </c>
      <c r="AA97" s="78" t="e">
        <f t="shared" si="123"/>
        <v>#DIV/0!</v>
      </c>
      <c r="AB97" s="78"/>
      <c r="AG97" s="15">
        <f t="shared" si="117"/>
        <v>0</v>
      </c>
      <c r="AH97" s="15">
        <f t="shared" si="127"/>
        <v>0</v>
      </c>
      <c r="AI97" s="15">
        <f t="shared" si="128"/>
        <v>0</v>
      </c>
      <c r="AO97" s="15">
        <f t="shared" si="118"/>
        <v>0</v>
      </c>
      <c r="AP97" s="15">
        <f t="shared" si="129"/>
        <v>0</v>
      </c>
      <c r="AQ97" s="15">
        <f t="shared" si="130"/>
        <v>0</v>
      </c>
      <c r="AV97" s="15">
        <f>COUNTIF(AR97:AU97,"PR")</f>
        <v>0</v>
      </c>
      <c r="AW97" s="15">
        <f t="shared" si="108"/>
        <v>0</v>
      </c>
      <c r="AX97" s="15">
        <f t="shared" si="138"/>
        <v>0</v>
      </c>
      <c r="AY97" s="15">
        <f>AI97+AQ97+AX97</f>
        <v>0</v>
      </c>
      <c r="AZ97" s="15">
        <f>SUM(AG97,AO97,AV97)</f>
        <v>0</v>
      </c>
      <c r="BA97" s="78" t="e">
        <f t="shared" si="124"/>
        <v>#DIV/0!</v>
      </c>
      <c r="BD97" s="1"/>
      <c r="BF97" s="15">
        <f t="shared" si="119"/>
        <v>0</v>
      </c>
      <c r="BG97" s="15">
        <f t="shared" si="131"/>
        <v>0</v>
      </c>
      <c r="BH97" s="15">
        <f t="shared" si="132"/>
        <v>0</v>
      </c>
      <c r="BN97" s="15">
        <f t="shared" si="120"/>
        <v>0</v>
      </c>
      <c r="BO97" s="15">
        <f t="shared" si="109"/>
        <v>0</v>
      </c>
      <c r="BP97" s="15">
        <f t="shared" si="133"/>
        <v>0</v>
      </c>
      <c r="BU97" s="15">
        <f t="shared" si="121"/>
        <v>0</v>
      </c>
      <c r="BV97" s="15">
        <f t="shared" si="134"/>
        <v>0</v>
      </c>
      <c r="BW97" s="15">
        <f t="shared" si="135"/>
        <v>0</v>
      </c>
      <c r="BX97" s="15">
        <f t="shared" si="110"/>
        <v>0</v>
      </c>
      <c r="BY97" s="15">
        <f t="shared" si="111"/>
        <v>0</v>
      </c>
      <c r="BZ97" s="78" t="e">
        <f t="shared" si="125"/>
        <v>#DIV/0!</v>
      </c>
      <c r="CA97" s="78"/>
      <c r="CG97" s="15">
        <f>COUNTIF(CB97:CF97,"PR")</f>
        <v>0</v>
      </c>
      <c r="CH97" s="15">
        <f>COUNTIF(CB97:CF97,"AB")</f>
        <v>0</v>
      </c>
      <c r="CI97" s="15">
        <f t="shared" si="136"/>
        <v>0</v>
      </c>
      <c r="CN97" s="15">
        <f>COUNTIF(CJ97:CM97,"PR")</f>
        <v>0</v>
      </c>
      <c r="CO97" s="15">
        <f>COUNTIF(CJ97:CM97,"AB")</f>
        <v>0</v>
      </c>
      <c r="CP97" s="15">
        <f t="shared" si="137"/>
        <v>0</v>
      </c>
      <c r="CU97" s="15">
        <f t="shared" si="122"/>
        <v>0</v>
      </c>
      <c r="CV97" s="15">
        <f t="shared" si="103"/>
        <v>0</v>
      </c>
      <c r="CW97" s="15">
        <f t="shared" si="104"/>
        <v>0</v>
      </c>
      <c r="CX97" s="15">
        <f>CG97+CN97+CU97</f>
        <v>0</v>
      </c>
      <c r="CY97" s="15" t="e">
        <f>SUM(CE97,#REF!,CS97)</f>
        <v>#REF!</v>
      </c>
      <c r="CZ97" s="78" t="e">
        <f t="shared" si="126"/>
        <v>#REF!</v>
      </c>
      <c r="DA97" s="78"/>
    </row>
    <row r="98" spans="1:105">
      <c r="A98" s="91"/>
      <c r="B98" s="14"/>
      <c r="H98" s="15">
        <f t="shared" si="100"/>
        <v>0</v>
      </c>
      <c r="I98" s="18">
        <f t="shared" si="112"/>
        <v>0</v>
      </c>
      <c r="J98" s="15">
        <f t="shared" si="113"/>
        <v>0</v>
      </c>
      <c r="O98" s="15">
        <f t="shared" si="116"/>
        <v>0</v>
      </c>
      <c r="P98" s="18">
        <f t="shared" si="114"/>
        <v>0</v>
      </c>
      <c r="Q98" s="15">
        <f t="shared" si="115"/>
        <v>0</v>
      </c>
      <c r="V98" s="15">
        <f t="shared" si="106"/>
        <v>0</v>
      </c>
      <c r="W98" s="15">
        <f t="shared" si="107"/>
        <v>0</v>
      </c>
      <c r="X98" s="15">
        <f t="shared" si="139"/>
        <v>0</v>
      </c>
      <c r="Y98" s="15">
        <f>J98+Q98+X98</f>
        <v>0</v>
      </c>
      <c r="Z98" s="15">
        <f>SUM(H98,O98,V98)</f>
        <v>0</v>
      </c>
      <c r="AA98" s="78" t="e">
        <f t="shared" si="123"/>
        <v>#DIV/0!</v>
      </c>
      <c r="AB98" s="78"/>
      <c r="AG98" s="15">
        <f t="shared" si="117"/>
        <v>0</v>
      </c>
      <c r="AH98" s="15">
        <f t="shared" si="127"/>
        <v>0</v>
      </c>
      <c r="AI98" s="15">
        <f t="shared" si="128"/>
        <v>0</v>
      </c>
      <c r="AO98" s="15">
        <f t="shared" si="118"/>
        <v>0</v>
      </c>
      <c r="AP98" s="15">
        <f t="shared" si="129"/>
        <v>0</v>
      </c>
      <c r="AQ98" s="15">
        <f t="shared" si="130"/>
        <v>0</v>
      </c>
      <c r="AV98" s="15">
        <f>COUNTIF(AR98:AU98,"PR")</f>
        <v>0</v>
      </c>
      <c r="AW98" s="15">
        <f t="shared" si="108"/>
        <v>0</v>
      </c>
      <c r="AX98" s="15">
        <f t="shared" si="138"/>
        <v>0</v>
      </c>
      <c r="AY98" s="15">
        <f>AI98+AQ98+AX98</f>
        <v>0</v>
      </c>
      <c r="AZ98" s="15">
        <f>SUM(AG98,AO98,AV98)</f>
        <v>0</v>
      </c>
      <c r="BA98" s="78" t="e">
        <f t="shared" si="124"/>
        <v>#DIV/0!</v>
      </c>
      <c r="BD98" s="1"/>
      <c r="BF98" s="15">
        <f t="shared" si="119"/>
        <v>0</v>
      </c>
      <c r="BG98" s="15">
        <f t="shared" si="131"/>
        <v>0</v>
      </c>
      <c r="BH98" s="15">
        <f t="shared" si="132"/>
        <v>0</v>
      </c>
      <c r="BN98" s="15">
        <f t="shared" si="120"/>
        <v>0</v>
      </c>
      <c r="BO98" s="15">
        <f t="shared" si="109"/>
        <v>0</v>
      </c>
      <c r="BP98" s="15">
        <f t="shared" si="133"/>
        <v>0</v>
      </c>
      <c r="BU98" s="15">
        <f t="shared" si="121"/>
        <v>0</v>
      </c>
      <c r="BV98" s="15">
        <f t="shared" si="134"/>
        <v>0</v>
      </c>
      <c r="BW98" s="15">
        <f t="shared" si="135"/>
        <v>0</v>
      </c>
      <c r="BX98" s="15">
        <f t="shared" si="110"/>
        <v>0</v>
      </c>
      <c r="BY98" s="15">
        <f t="shared" si="111"/>
        <v>0</v>
      </c>
      <c r="BZ98" s="78" t="e">
        <f t="shared" si="125"/>
        <v>#DIV/0!</v>
      </c>
      <c r="CA98" s="78"/>
      <c r="CG98" s="15">
        <f>COUNTIF(CB98:CF98,"PR")</f>
        <v>0</v>
      </c>
      <c r="CH98" s="15">
        <f>COUNTIF(CB98:CF98,"AB")</f>
        <v>0</v>
      </c>
      <c r="CI98" s="15">
        <f t="shared" si="136"/>
        <v>0</v>
      </c>
      <c r="CN98" s="15">
        <f>COUNTIF(CJ98:CM98,"PR")</f>
        <v>0</v>
      </c>
      <c r="CO98" s="15">
        <f>COUNTIF(CJ98:CM98,"AB")</f>
        <v>0</v>
      </c>
      <c r="CP98" s="15">
        <f t="shared" si="137"/>
        <v>0</v>
      </c>
      <c r="CU98" s="15">
        <f t="shared" si="122"/>
        <v>0</v>
      </c>
      <c r="CV98" s="15">
        <f t="shared" si="103"/>
        <v>0</v>
      </c>
      <c r="CW98" s="15">
        <f t="shared" si="104"/>
        <v>0</v>
      </c>
      <c r="CX98" s="15">
        <f>CG98+CN98+CU98</f>
        <v>0</v>
      </c>
      <c r="CY98" s="15" t="e">
        <f>SUM(CE98,#REF!,CS98)</f>
        <v>#REF!</v>
      </c>
      <c r="CZ98" s="78" t="e">
        <f t="shared" si="126"/>
        <v>#REF!</v>
      </c>
      <c r="DA98" s="78"/>
    </row>
    <row r="99" spans="1:105">
      <c r="A99" s="91"/>
      <c r="B99" s="14"/>
      <c r="H99" s="15">
        <f t="shared" ref="H99:H136" si="140">COUNTIF(C99:G99,"PR")</f>
        <v>0</v>
      </c>
      <c r="I99" s="18">
        <f t="shared" si="112"/>
        <v>0</v>
      </c>
      <c r="J99" s="15">
        <f t="shared" si="113"/>
        <v>0</v>
      </c>
      <c r="O99" s="15">
        <f t="shared" si="116"/>
        <v>0</v>
      </c>
      <c r="P99" s="18">
        <f t="shared" si="114"/>
        <v>0</v>
      </c>
      <c r="Q99" s="15">
        <f t="shared" si="115"/>
        <v>0</v>
      </c>
      <c r="V99" s="15">
        <f t="shared" si="106"/>
        <v>0</v>
      </c>
      <c r="W99" s="15">
        <f t="shared" si="107"/>
        <v>0</v>
      </c>
      <c r="X99" s="15">
        <f t="shared" si="139"/>
        <v>0</v>
      </c>
      <c r="Y99" s="15">
        <f>J99+Q99+X99</f>
        <v>0</v>
      </c>
      <c r="Z99" s="15">
        <f>SUM(H99,O99,V99)</f>
        <v>0</v>
      </c>
      <c r="AA99" s="78" t="e">
        <f t="shared" si="123"/>
        <v>#DIV/0!</v>
      </c>
      <c r="AB99" s="78"/>
      <c r="AG99" s="15">
        <f t="shared" si="117"/>
        <v>0</v>
      </c>
      <c r="AH99" s="15">
        <f t="shared" si="127"/>
        <v>0</v>
      </c>
      <c r="AI99" s="15">
        <f t="shared" si="128"/>
        <v>0</v>
      </c>
      <c r="AO99" s="15">
        <f t="shared" si="118"/>
        <v>0</v>
      </c>
      <c r="AP99" s="15">
        <f t="shared" si="129"/>
        <v>0</v>
      </c>
      <c r="AQ99" s="15">
        <f t="shared" si="130"/>
        <v>0</v>
      </c>
      <c r="AV99" s="15">
        <f>COUNTIF(AR99:AU99,"PR")</f>
        <v>0</v>
      </c>
      <c r="AW99" s="15">
        <f t="shared" si="108"/>
        <v>0</v>
      </c>
      <c r="AX99" s="15">
        <f t="shared" si="138"/>
        <v>0</v>
      </c>
      <c r="AY99" s="15">
        <f>AI99+AQ99+AX99</f>
        <v>0</v>
      </c>
      <c r="AZ99" s="15">
        <f>SUM(AG99,AO99,AV99)</f>
        <v>0</v>
      </c>
      <c r="BA99" s="78" t="e">
        <f t="shared" si="124"/>
        <v>#DIV/0!</v>
      </c>
      <c r="BD99" s="1"/>
      <c r="BF99" s="15">
        <f t="shared" si="119"/>
        <v>0</v>
      </c>
      <c r="BG99" s="15">
        <f t="shared" si="131"/>
        <v>0</v>
      </c>
      <c r="BH99" s="15">
        <f t="shared" si="132"/>
        <v>0</v>
      </c>
      <c r="BN99" s="15">
        <f t="shared" si="120"/>
        <v>0</v>
      </c>
      <c r="BO99" s="15">
        <f t="shared" si="109"/>
        <v>0</v>
      </c>
      <c r="BP99" s="15">
        <f t="shared" si="133"/>
        <v>0</v>
      </c>
      <c r="BU99" s="15">
        <f t="shared" si="121"/>
        <v>0</v>
      </c>
      <c r="BV99" s="15">
        <f t="shared" si="134"/>
        <v>0</v>
      </c>
      <c r="BW99" s="15">
        <f t="shared" si="135"/>
        <v>0</v>
      </c>
      <c r="BX99" s="15">
        <f t="shared" si="110"/>
        <v>0</v>
      </c>
      <c r="BY99" s="15">
        <f t="shared" si="111"/>
        <v>0</v>
      </c>
      <c r="BZ99" s="78" t="e">
        <f t="shared" si="125"/>
        <v>#DIV/0!</v>
      </c>
      <c r="CA99" s="78"/>
      <c r="CG99" s="15">
        <f>COUNTIF(CB99:CF99,"PR")</f>
        <v>0</v>
      </c>
      <c r="CH99" s="15">
        <f>COUNTIF(CB99:CF99,"AB")</f>
        <v>0</v>
      </c>
      <c r="CI99" s="15">
        <f t="shared" si="136"/>
        <v>0</v>
      </c>
      <c r="CN99" s="15">
        <f>COUNTIF(CJ99:CM99,"PR")</f>
        <v>0</v>
      </c>
      <c r="CO99" s="15">
        <f>COUNTIF(CJ99:CM99,"AB")</f>
        <v>0</v>
      </c>
      <c r="CP99" s="15">
        <f t="shared" si="137"/>
        <v>0</v>
      </c>
      <c r="CU99" s="15">
        <f t="shared" si="122"/>
        <v>0</v>
      </c>
      <c r="CV99" s="15">
        <f t="shared" si="103"/>
        <v>0</v>
      </c>
      <c r="CW99" s="15">
        <f t="shared" si="104"/>
        <v>0</v>
      </c>
      <c r="CX99" s="15">
        <f>CG99+CN99+CU99</f>
        <v>0</v>
      </c>
      <c r="CY99" s="15" t="e">
        <f>SUM(CE99,#REF!,CS99)</f>
        <v>#REF!</v>
      </c>
      <c r="CZ99" s="78" t="e">
        <f t="shared" si="126"/>
        <v>#REF!</v>
      </c>
      <c r="DA99" s="78"/>
    </row>
    <row r="100" spans="1:105">
      <c r="A100" s="91"/>
      <c r="B100" s="14"/>
      <c r="H100" s="15">
        <f t="shared" si="140"/>
        <v>0</v>
      </c>
      <c r="I100" s="18">
        <f t="shared" si="112"/>
        <v>0</v>
      </c>
      <c r="J100" s="15">
        <f t="shared" si="113"/>
        <v>0</v>
      </c>
      <c r="O100" s="15">
        <f t="shared" si="116"/>
        <v>0</v>
      </c>
      <c r="P100" s="18">
        <f t="shared" si="114"/>
        <v>0</v>
      </c>
      <c r="Q100" s="15">
        <f t="shared" si="115"/>
        <v>0</v>
      </c>
      <c r="V100" s="15">
        <f t="shared" si="106"/>
        <v>0</v>
      </c>
      <c r="W100" s="15">
        <f t="shared" si="107"/>
        <v>0</v>
      </c>
      <c r="X100" s="15">
        <f t="shared" si="139"/>
        <v>0</v>
      </c>
      <c r="Y100" s="15">
        <f>J100+Q100+X100</f>
        <v>0</v>
      </c>
      <c r="Z100" s="15">
        <f>SUM(H100,O100,V100)</f>
        <v>0</v>
      </c>
      <c r="AA100" s="78" t="e">
        <f t="shared" si="123"/>
        <v>#DIV/0!</v>
      </c>
      <c r="AB100" s="78"/>
      <c r="AG100" s="15">
        <f t="shared" si="117"/>
        <v>0</v>
      </c>
      <c r="AH100" s="15">
        <f t="shared" si="127"/>
        <v>0</v>
      </c>
      <c r="AI100" s="15">
        <f t="shared" si="128"/>
        <v>0</v>
      </c>
      <c r="AO100" s="15">
        <f t="shared" si="118"/>
        <v>0</v>
      </c>
      <c r="AP100" s="15">
        <f t="shared" si="129"/>
        <v>0</v>
      </c>
      <c r="AQ100" s="15">
        <f t="shared" si="130"/>
        <v>0</v>
      </c>
      <c r="AV100" s="15">
        <f>COUNTIF(AR100:AU100,"PR")</f>
        <v>0</v>
      </c>
      <c r="AW100" s="15">
        <f t="shared" si="108"/>
        <v>0</v>
      </c>
      <c r="AX100" s="15">
        <f t="shared" si="138"/>
        <v>0</v>
      </c>
      <c r="AY100" s="15">
        <f>AI100+AQ100+AX100</f>
        <v>0</v>
      </c>
      <c r="AZ100" s="15">
        <f>SUM(AG100,AO100,AV100)</f>
        <v>0</v>
      </c>
      <c r="BA100" s="78" t="e">
        <f t="shared" si="124"/>
        <v>#DIV/0!</v>
      </c>
      <c r="BD100" s="1"/>
      <c r="BF100" s="15">
        <f t="shared" si="119"/>
        <v>0</v>
      </c>
      <c r="BG100" s="15">
        <f t="shared" si="131"/>
        <v>0</v>
      </c>
      <c r="BH100" s="15">
        <f t="shared" si="132"/>
        <v>0</v>
      </c>
      <c r="BN100" s="15">
        <f t="shared" si="120"/>
        <v>0</v>
      </c>
      <c r="BO100" s="15">
        <f t="shared" si="109"/>
        <v>0</v>
      </c>
      <c r="BP100" s="15">
        <f t="shared" si="133"/>
        <v>0</v>
      </c>
      <c r="BU100" s="15">
        <f t="shared" si="121"/>
        <v>0</v>
      </c>
      <c r="BV100" s="15">
        <f t="shared" si="134"/>
        <v>0</v>
      </c>
      <c r="BW100" s="15">
        <f t="shared" si="135"/>
        <v>0</v>
      </c>
      <c r="BX100" s="15">
        <f t="shared" ref="BX100:BX136" si="141">BH100+BP100+BW100</f>
        <v>0</v>
      </c>
      <c r="BY100" s="15">
        <f t="shared" ref="BY100:BY136" si="142">SUM(BF100,BN100,BU100)</f>
        <v>0</v>
      </c>
      <c r="BZ100" s="78" t="e">
        <f t="shared" si="125"/>
        <v>#DIV/0!</v>
      </c>
      <c r="CA100" s="78"/>
      <c r="CG100" s="15">
        <f>COUNTIF(CB100:CF100,"PR")</f>
        <v>0</v>
      </c>
      <c r="CH100" s="15">
        <f>COUNTIF(CB100:CF100,"AB")</f>
        <v>0</v>
      </c>
      <c r="CI100" s="15">
        <f t="shared" si="136"/>
        <v>0</v>
      </c>
      <c r="CN100" s="15">
        <f>COUNTIF(CJ100:CM100,"PR")</f>
        <v>0</v>
      </c>
      <c r="CO100" s="15">
        <f>COUNTIF(CJ100:CM100,"AB")</f>
        <v>0</v>
      </c>
      <c r="CP100" s="15">
        <f t="shared" si="137"/>
        <v>0</v>
      </c>
      <c r="CU100" s="15">
        <f t="shared" si="122"/>
        <v>0</v>
      </c>
      <c r="CV100" s="15">
        <f t="shared" ref="CV100:CV136" si="143">COUNTIF(CQ100:CT100,"AB")</f>
        <v>0</v>
      </c>
      <c r="CW100" s="15">
        <f t="shared" ref="CW100:CW136" si="144">CU100+CV100</f>
        <v>0</v>
      </c>
      <c r="CX100" s="15">
        <f>CG100+CN100+CU100</f>
        <v>0</v>
      </c>
      <c r="CY100" s="15" t="e">
        <f>SUM(CE100,#REF!,CS100)</f>
        <v>#REF!</v>
      </c>
      <c r="CZ100" s="78" t="e">
        <f t="shared" si="126"/>
        <v>#REF!</v>
      </c>
      <c r="DA100" s="78"/>
    </row>
    <row r="101" spans="1:105">
      <c r="A101" s="91"/>
      <c r="B101" s="14"/>
      <c r="H101" s="15">
        <f t="shared" si="140"/>
        <v>0</v>
      </c>
      <c r="I101" s="18">
        <f t="shared" si="112"/>
        <v>0</v>
      </c>
      <c r="J101" s="15">
        <f t="shared" si="113"/>
        <v>0</v>
      </c>
      <c r="O101" s="15">
        <f t="shared" si="116"/>
        <v>0</v>
      </c>
      <c r="P101" s="18">
        <f t="shared" si="114"/>
        <v>0</v>
      </c>
      <c r="Q101" s="15">
        <f t="shared" si="115"/>
        <v>0</v>
      </c>
      <c r="V101" s="15">
        <f t="shared" si="106"/>
        <v>0</v>
      </c>
      <c r="W101" s="15">
        <f t="shared" si="107"/>
        <v>0</v>
      </c>
      <c r="X101" s="15">
        <f t="shared" si="139"/>
        <v>0</v>
      </c>
      <c r="Y101" s="15">
        <f>J101+Q101+X101</f>
        <v>0</v>
      </c>
      <c r="Z101" s="15">
        <f>SUM(H101,O101,V101)</f>
        <v>0</v>
      </c>
      <c r="AA101" s="78" t="e">
        <f t="shared" si="123"/>
        <v>#DIV/0!</v>
      </c>
      <c r="AB101" s="78"/>
      <c r="AG101" s="15">
        <f t="shared" si="117"/>
        <v>0</v>
      </c>
      <c r="AH101" s="15">
        <f t="shared" si="127"/>
        <v>0</v>
      </c>
      <c r="AI101" s="15">
        <f t="shared" si="128"/>
        <v>0</v>
      </c>
      <c r="AO101" s="15">
        <f t="shared" si="118"/>
        <v>0</v>
      </c>
      <c r="AP101" s="15">
        <f t="shared" si="129"/>
        <v>0</v>
      </c>
      <c r="AQ101" s="15">
        <f t="shared" si="130"/>
        <v>0</v>
      </c>
      <c r="AV101" s="15">
        <f>COUNTIF(AR101:AU101,"PR")</f>
        <v>0</v>
      </c>
      <c r="AW101" s="15">
        <f t="shared" si="108"/>
        <v>0</v>
      </c>
      <c r="AX101" s="15">
        <f t="shared" si="138"/>
        <v>0</v>
      </c>
      <c r="AY101" s="15">
        <f>AI101+AQ101+AX101</f>
        <v>0</v>
      </c>
      <c r="AZ101" s="15">
        <f>SUM(AG101,AO101,AV101)</f>
        <v>0</v>
      </c>
      <c r="BA101" s="78" t="e">
        <f t="shared" si="124"/>
        <v>#DIV/0!</v>
      </c>
      <c r="BD101" s="1"/>
      <c r="BF101" s="15">
        <f t="shared" si="119"/>
        <v>0</v>
      </c>
      <c r="BG101" s="15">
        <f t="shared" si="131"/>
        <v>0</v>
      </c>
      <c r="BH101" s="15">
        <f t="shared" si="132"/>
        <v>0</v>
      </c>
      <c r="BN101" s="15">
        <f t="shared" si="120"/>
        <v>0</v>
      </c>
      <c r="BO101" s="15">
        <f t="shared" si="109"/>
        <v>0</v>
      </c>
      <c r="BP101" s="15">
        <f t="shared" si="133"/>
        <v>0</v>
      </c>
      <c r="BU101" s="15">
        <f t="shared" si="121"/>
        <v>0</v>
      </c>
      <c r="BV101" s="15">
        <f t="shared" si="134"/>
        <v>0</v>
      </c>
      <c r="BW101" s="15">
        <f t="shared" si="135"/>
        <v>0</v>
      </c>
      <c r="BX101" s="15">
        <f t="shared" si="141"/>
        <v>0</v>
      </c>
      <c r="BY101" s="15">
        <f t="shared" si="142"/>
        <v>0</v>
      </c>
      <c r="BZ101" s="78" t="e">
        <f t="shared" si="125"/>
        <v>#DIV/0!</v>
      </c>
      <c r="CA101" s="78"/>
      <c r="CG101" s="15">
        <f>COUNTIF(CB101:CF101,"PR")</f>
        <v>0</v>
      </c>
      <c r="CH101" s="15">
        <f>COUNTIF(CB101:CF101,"AB")</f>
        <v>0</v>
      </c>
      <c r="CI101" s="15">
        <f t="shared" si="136"/>
        <v>0</v>
      </c>
      <c r="CN101" s="15">
        <f>COUNTIF(CJ101:CM101,"PR")</f>
        <v>0</v>
      </c>
      <c r="CO101" s="15">
        <f>COUNTIF(CJ101:CM101,"AB")</f>
        <v>0</v>
      </c>
      <c r="CP101" s="15">
        <f t="shared" si="137"/>
        <v>0</v>
      </c>
      <c r="CU101" s="15">
        <f t="shared" si="122"/>
        <v>0</v>
      </c>
      <c r="CV101" s="15">
        <f t="shared" si="143"/>
        <v>0</v>
      </c>
      <c r="CW101" s="15">
        <f t="shared" si="144"/>
        <v>0</v>
      </c>
      <c r="CX101" s="15">
        <f>CG101+CN101+CU101</f>
        <v>0</v>
      </c>
      <c r="CY101" s="15" t="e">
        <f>SUM(CE101,#REF!,CS101)</f>
        <v>#REF!</v>
      </c>
      <c r="CZ101" s="78" t="e">
        <f t="shared" si="126"/>
        <v>#REF!</v>
      </c>
      <c r="DA101" s="78"/>
    </row>
    <row r="102" spans="1:105">
      <c r="A102" s="91"/>
      <c r="B102" s="14"/>
      <c r="H102" s="15">
        <f t="shared" si="140"/>
        <v>0</v>
      </c>
      <c r="I102" s="18">
        <f t="shared" si="112"/>
        <v>0</v>
      </c>
      <c r="J102" s="15">
        <f t="shared" si="113"/>
        <v>0</v>
      </c>
      <c r="O102" s="15">
        <f t="shared" si="116"/>
        <v>0</v>
      </c>
      <c r="P102" s="18">
        <f t="shared" si="114"/>
        <v>0</v>
      </c>
      <c r="Q102" s="15">
        <f t="shared" si="115"/>
        <v>0</v>
      </c>
      <c r="V102" s="15">
        <f t="shared" ref="V102:V136" si="145">COUNTIF(R102:U102,"PR")</f>
        <v>0</v>
      </c>
      <c r="W102" s="15">
        <f t="shared" ref="W102:W136" si="146">COUNTIF(R102:U102,"AB")</f>
        <v>0</v>
      </c>
      <c r="X102" s="15">
        <f t="shared" si="139"/>
        <v>0</v>
      </c>
      <c r="Y102" s="15">
        <f>J102+Q102+X102</f>
        <v>0</v>
      </c>
      <c r="Z102" s="15">
        <f>SUM(H102,O102,V102)</f>
        <v>0</v>
      </c>
      <c r="AA102" s="78" t="e">
        <f t="shared" si="123"/>
        <v>#DIV/0!</v>
      </c>
      <c r="AB102" s="78"/>
      <c r="AG102" s="15">
        <f t="shared" si="117"/>
        <v>0</v>
      </c>
      <c r="AH102" s="15">
        <f t="shared" si="127"/>
        <v>0</v>
      </c>
      <c r="AI102" s="15">
        <f t="shared" si="128"/>
        <v>0</v>
      </c>
      <c r="AO102" s="15">
        <f t="shared" si="118"/>
        <v>0</v>
      </c>
      <c r="AP102" s="15">
        <f t="shared" si="129"/>
        <v>0</v>
      </c>
      <c r="AQ102" s="15">
        <f t="shared" si="130"/>
        <v>0</v>
      </c>
      <c r="AV102" s="15">
        <f>COUNTIF(AR102:AU102,"PR")</f>
        <v>0</v>
      </c>
      <c r="AW102" s="15">
        <f t="shared" ref="AW102:AW136" si="147">COUNTIF(AR102:AU102,"AB")</f>
        <v>0</v>
      </c>
      <c r="AX102" s="15">
        <f t="shared" si="138"/>
        <v>0</v>
      </c>
      <c r="AY102" s="15">
        <f>AI102+AQ102+AX102</f>
        <v>0</v>
      </c>
      <c r="AZ102" s="15">
        <f>SUM(AG102,AO102,AV102)</f>
        <v>0</v>
      </c>
      <c r="BA102" s="78" t="e">
        <f t="shared" si="124"/>
        <v>#DIV/0!</v>
      </c>
      <c r="BD102" s="1"/>
      <c r="BF102" s="15">
        <f t="shared" si="119"/>
        <v>0</v>
      </c>
      <c r="BG102" s="15">
        <f t="shared" si="131"/>
        <v>0</v>
      </c>
      <c r="BH102" s="15">
        <f t="shared" si="132"/>
        <v>0</v>
      </c>
      <c r="BN102" s="15">
        <f t="shared" si="120"/>
        <v>0</v>
      </c>
      <c r="BO102" s="15">
        <f t="shared" ref="BO102:BO136" si="148">COUNTIF(BI102:BM102,"AB")</f>
        <v>0</v>
      </c>
      <c r="BP102" s="15">
        <f t="shared" si="133"/>
        <v>0</v>
      </c>
      <c r="BU102" s="15">
        <f t="shared" si="121"/>
        <v>0</v>
      </c>
      <c r="BV102" s="15">
        <f t="shared" si="134"/>
        <v>0</v>
      </c>
      <c r="BW102" s="15">
        <f t="shared" si="135"/>
        <v>0</v>
      </c>
      <c r="BX102" s="15">
        <f t="shared" si="141"/>
        <v>0</v>
      </c>
      <c r="BY102" s="15">
        <f t="shared" si="142"/>
        <v>0</v>
      </c>
      <c r="BZ102" s="78" t="e">
        <f t="shared" si="125"/>
        <v>#DIV/0!</v>
      </c>
      <c r="CA102" s="78"/>
      <c r="CG102" s="15">
        <f>COUNTIF(CB102:CF102,"PR")</f>
        <v>0</v>
      </c>
      <c r="CH102" s="15">
        <f>COUNTIF(CB102:CF102,"AB")</f>
        <v>0</v>
      </c>
      <c r="CI102" s="15">
        <f t="shared" si="136"/>
        <v>0</v>
      </c>
      <c r="CN102" s="15">
        <f>COUNTIF(CJ102:CM102,"PR")</f>
        <v>0</v>
      </c>
      <c r="CO102" s="15">
        <f>COUNTIF(CJ102:CM102,"AB")</f>
        <v>0</v>
      </c>
      <c r="CP102" s="15">
        <f t="shared" si="137"/>
        <v>0</v>
      </c>
      <c r="CU102" s="15">
        <f t="shared" si="122"/>
        <v>0</v>
      </c>
      <c r="CV102" s="15">
        <f t="shared" si="143"/>
        <v>0</v>
      </c>
      <c r="CW102" s="15">
        <f t="shared" si="144"/>
        <v>0</v>
      </c>
      <c r="CX102" s="15">
        <f>CG102+CN102+CU102</f>
        <v>0</v>
      </c>
      <c r="CY102" s="15" t="e">
        <f>SUM(CE102,#REF!,CS102)</f>
        <v>#REF!</v>
      </c>
      <c r="CZ102" s="78" t="e">
        <f t="shared" si="126"/>
        <v>#REF!</v>
      </c>
      <c r="DA102" s="78"/>
    </row>
    <row r="103" spans="1:105">
      <c r="A103" s="91"/>
      <c r="B103" s="14"/>
      <c r="H103" s="15">
        <f t="shared" si="140"/>
        <v>0</v>
      </c>
      <c r="I103" s="18">
        <f t="shared" si="112"/>
        <v>0</v>
      </c>
      <c r="J103" s="15">
        <f t="shared" si="113"/>
        <v>0</v>
      </c>
      <c r="O103" s="15">
        <f t="shared" si="116"/>
        <v>0</v>
      </c>
      <c r="P103" s="18">
        <f t="shared" si="114"/>
        <v>0</v>
      </c>
      <c r="Q103" s="15">
        <f t="shared" si="115"/>
        <v>0</v>
      </c>
      <c r="V103" s="15">
        <f t="shared" si="145"/>
        <v>0</v>
      </c>
      <c r="W103" s="15">
        <f t="shared" si="146"/>
        <v>0</v>
      </c>
      <c r="X103" s="15">
        <f t="shared" si="139"/>
        <v>0</v>
      </c>
      <c r="Y103" s="15">
        <f>J103+Q103+X103</f>
        <v>0</v>
      </c>
      <c r="Z103" s="15">
        <f>SUM(H103,O103,V103)</f>
        <v>0</v>
      </c>
      <c r="AA103" s="78" t="e">
        <f t="shared" si="123"/>
        <v>#DIV/0!</v>
      </c>
      <c r="AB103" s="78"/>
      <c r="AG103" s="15">
        <f t="shared" si="117"/>
        <v>0</v>
      </c>
      <c r="AH103" s="15">
        <f t="shared" si="127"/>
        <v>0</v>
      </c>
      <c r="AI103" s="15">
        <f t="shared" si="128"/>
        <v>0</v>
      </c>
      <c r="AO103" s="15">
        <f t="shared" si="118"/>
        <v>0</v>
      </c>
      <c r="AP103" s="15">
        <f t="shared" si="129"/>
        <v>0</v>
      </c>
      <c r="AQ103" s="15">
        <f t="shared" si="130"/>
        <v>0</v>
      </c>
      <c r="AV103" s="15">
        <f>COUNTIF(AR103:AU103,"PR")</f>
        <v>0</v>
      </c>
      <c r="AW103" s="15">
        <f t="shared" si="147"/>
        <v>0</v>
      </c>
      <c r="AX103" s="15">
        <f t="shared" si="138"/>
        <v>0</v>
      </c>
      <c r="AY103" s="15">
        <f>AI103+AQ103+AX103</f>
        <v>0</v>
      </c>
      <c r="AZ103" s="15">
        <f>SUM(AG103,AO103,AV103)</f>
        <v>0</v>
      </c>
      <c r="BA103" s="78" t="e">
        <f t="shared" si="124"/>
        <v>#DIV/0!</v>
      </c>
      <c r="BD103" s="1"/>
      <c r="BF103" s="15">
        <f t="shared" si="119"/>
        <v>0</v>
      </c>
      <c r="BG103" s="15">
        <f t="shared" si="131"/>
        <v>0</v>
      </c>
      <c r="BH103" s="15">
        <f t="shared" si="132"/>
        <v>0</v>
      </c>
      <c r="BN103" s="15">
        <f t="shared" si="120"/>
        <v>0</v>
      </c>
      <c r="BO103" s="15">
        <f t="shared" si="148"/>
        <v>0</v>
      </c>
      <c r="BP103" s="15">
        <f t="shared" si="133"/>
        <v>0</v>
      </c>
      <c r="BU103" s="15">
        <f t="shared" si="121"/>
        <v>0</v>
      </c>
      <c r="BV103" s="15">
        <f t="shared" si="134"/>
        <v>0</v>
      </c>
      <c r="BW103" s="15">
        <f t="shared" si="135"/>
        <v>0</v>
      </c>
      <c r="BX103" s="15">
        <f t="shared" si="141"/>
        <v>0</v>
      </c>
      <c r="BY103" s="15">
        <f t="shared" si="142"/>
        <v>0</v>
      </c>
      <c r="BZ103" s="78" t="e">
        <f t="shared" si="125"/>
        <v>#DIV/0!</v>
      </c>
      <c r="CA103" s="78"/>
      <c r="CG103" s="15">
        <f>COUNTIF(CB103:CF103,"PR")</f>
        <v>0</v>
      </c>
      <c r="CH103" s="15">
        <f>COUNTIF(CB103:CF103,"AB")</f>
        <v>0</v>
      </c>
      <c r="CI103" s="15">
        <f t="shared" si="136"/>
        <v>0</v>
      </c>
      <c r="CN103" s="15">
        <f>COUNTIF(CJ103:CM103,"PR")</f>
        <v>0</v>
      </c>
      <c r="CO103" s="15">
        <f>COUNTIF(CJ103:CM103,"AB")</f>
        <v>0</v>
      </c>
      <c r="CP103" s="15">
        <f t="shared" si="137"/>
        <v>0</v>
      </c>
      <c r="CU103" s="15">
        <f t="shared" si="122"/>
        <v>0</v>
      </c>
      <c r="CV103" s="15">
        <f t="shared" si="143"/>
        <v>0</v>
      </c>
      <c r="CW103" s="15">
        <f t="shared" si="144"/>
        <v>0</v>
      </c>
      <c r="CX103" s="15">
        <f>CG103+CN103+CU103</f>
        <v>0</v>
      </c>
      <c r="CY103" s="15" t="e">
        <f>SUM(CE103,#REF!,CS103)</f>
        <v>#REF!</v>
      </c>
      <c r="CZ103" s="78" t="e">
        <f t="shared" si="126"/>
        <v>#REF!</v>
      </c>
      <c r="DA103" s="78"/>
    </row>
    <row r="104" spans="1:105">
      <c r="A104" s="91"/>
      <c r="B104" s="14"/>
      <c r="H104" s="15">
        <f t="shared" si="140"/>
        <v>0</v>
      </c>
      <c r="I104" s="18">
        <f t="shared" si="112"/>
        <v>0</v>
      </c>
      <c r="J104" s="15">
        <f t="shared" si="113"/>
        <v>0</v>
      </c>
      <c r="O104" s="15">
        <f t="shared" si="116"/>
        <v>0</v>
      </c>
      <c r="P104" s="18">
        <f t="shared" si="114"/>
        <v>0</v>
      </c>
      <c r="Q104" s="15">
        <f t="shared" si="115"/>
        <v>0</v>
      </c>
      <c r="V104" s="15">
        <f t="shared" si="145"/>
        <v>0</v>
      </c>
      <c r="W104" s="15">
        <f t="shared" si="146"/>
        <v>0</v>
      </c>
      <c r="X104" s="15">
        <f t="shared" si="139"/>
        <v>0</v>
      </c>
      <c r="Y104" s="15">
        <f>J104+Q104+X104</f>
        <v>0</v>
      </c>
      <c r="Z104" s="15">
        <f>SUM(H104,O104,V104)</f>
        <v>0</v>
      </c>
      <c r="AA104" s="78" t="e">
        <f t="shared" si="123"/>
        <v>#DIV/0!</v>
      </c>
      <c r="AB104" s="78"/>
      <c r="AC104" s="76"/>
      <c r="AD104" s="72"/>
      <c r="AE104" s="72"/>
      <c r="AF104" s="72"/>
      <c r="AG104" s="15">
        <f t="shared" si="117"/>
        <v>0</v>
      </c>
      <c r="AH104" s="15">
        <f t="shared" si="127"/>
        <v>0</v>
      </c>
      <c r="AI104" s="15">
        <f t="shared" si="128"/>
        <v>0</v>
      </c>
      <c r="AO104" s="15">
        <f t="shared" si="118"/>
        <v>0</v>
      </c>
      <c r="AP104" s="15">
        <f t="shared" si="129"/>
        <v>0</v>
      </c>
      <c r="AQ104" s="15">
        <f t="shared" si="130"/>
        <v>0</v>
      </c>
      <c r="AV104" s="15">
        <f>COUNTIF(AR104:AU104,"PR")</f>
        <v>0</v>
      </c>
      <c r="AW104" s="15">
        <f t="shared" si="147"/>
        <v>0</v>
      </c>
      <c r="AX104" s="15">
        <f t="shared" si="138"/>
        <v>0</v>
      </c>
      <c r="AY104" s="15">
        <f>AI104+AQ104+AX104</f>
        <v>0</v>
      </c>
      <c r="AZ104" s="15">
        <f>SUM(AG104,AO104,AV104)</f>
        <v>0</v>
      </c>
      <c r="BA104" s="78" t="e">
        <f t="shared" si="124"/>
        <v>#DIV/0!</v>
      </c>
      <c r="BD104" s="1"/>
      <c r="BF104" s="15">
        <f t="shared" si="119"/>
        <v>0</v>
      </c>
      <c r="BG104" s="15">
        <f t="shared" si="131"/>
        <v>0</v>
      </c>
      <c r="BH104" s="15">
        <f t="shared" si="132"/>
        <v>0</v>
      </c>
      <c r="BN104" s="15">
        <f t="shared" si="120"/>
        <v>0</v>
      </c>
      <c r="BO104" s="15">
        <f t="shared" si="148"/>
        <v>0</v>
      </c>
      <c r="BP104" s="15">
        <f t="shared" si="133"/>
        <v>0</v>
      </c>
      <c r="BU104" s="15">
        <f t="shared" si="121"/>
        <v>0</v>
      </c>
      <c r="BV104" s="15">
        <f t="shared" si="134"/>
        <v>0</v>
      </c>
      <c r="BW104" s="15">
        <f t="shared" si="135"/>
        <v>0</v>
      </c>
      <c r="BX104" s="15">
        <f t="shared" si="141"/>
        <v>0</v>
      </c>
      <c r="BY104" s="15">
        <f t="shared" si="142"/>
        <v>0</v>
      </c>
      <c r="BZ104" s="78" t="e">
        <f t="shared" si="125"/>
        <v>#DIV/0!</v>
      </c>
      <c r="CA104" s="78"/>
      <c r="CG104" s="15">
        <f>COUNTIF(CB104:CF104,"PR")</f>
        <v>0</v>
      </c>
      <c r="CH104" s="15">
        <f>COUNTIF(CB104:CF104,"AB")</f>
        <v>0</v>
      </c>
      <c r="CI104" s="15">
        <f t="shared" si="136"/>
        <v>0</v>
      </c>
      <c r="CN104" s="15">
        <f>COUNTIF(CJ104:CM104,"PR")</f>
        <v>0</v>
      </c>
      <c r="CO104" s="15">
        <f>COUNTIF(CJ104:CM104,"AB")</f>
        <v>0</v>
      </c>
      <c r="CP104" s="15">
        <f t="shared" si="137"/>
        <v>0</v>
      </c>
      <c r="CU104" s="15">
        <f t="shared" si="122"/>
        <v>0</v>
      </c>
      <c r="CV104" s="15">
        <f t="shared" si="143"/>
        <v>0</v>
      </c>
      <c r="CW104" s="15">
        <f t="shared" si="144"/>
        <v>0</v>
      </c>
      <c r="CX104" s="15">
        <f>CG104+CN104+CU104</f>
        <v>0</v>
      </c>
      <c r="CY104" s="15" t="e">
        <f>SUM(CE104,#REF!,CS104)</f>
        <v>#REF!</v>
      </c>
      <c r="CZ104" s="78" t="e">
        <f t="shared" si="126"/>
        <v>#REF!</v>
      </c>
      <c r="DA104" s="78"/>
    </row>
    <row r="105" spans="1:105">
      <c r="A105" s="91"/>
      <c r="B105" s="14"/>
      <c r="H105" s="15">
        <f t="shared" si="140"/>
        <v>0</v>
      </c>
      <c r="I105" s="18">
        <f t="shared" si="112"/>
        <v>0</v>
      </c>
      <c r="J105" s="15">
        <f t="shared" si="113"/>
        <v>0</v>
      </c>
      <c r="O105" s="15">
        <f t="shared" si="116"/>
        <v>0</v>
      </c>
      <c r="P105" s="18">
        <f t="shared" si="114"/>
        <v>0</v>
      </c>
      <c r="Q105" s="15">
        <f t="shared" si="115"/>
        <v>0</v>
      </c>
      <c r="V105" s="15">
        <f t="shared" si="145"/>
        <v>0</v>
      </c>
      <c r="W105" s="15">
        <f t="shared" si="146"/>
        <v>0</v>
      </c>
      <c r="X105" s="15">
        <f t="shared" si="139"/>
        <v>0</v>
      </c>
      <c r="Y105" s="15">
        <f>J105+Q105+X105</f>
        <v>0</v>
      </c>
      <c r="Z105" s="15">
        <f>SUM(H105,O105,V105)</f>
        <v>0</v>
      </c>
      <c r="AA105" s="78" t="e">
        <f t="shared" si="123"/>
        <v>#DIV/0!</v>
      </c>
      <c r="AB105" s="78"/>
      <c r="AG105" s="15">
        <f t="shared" si="117"/>
        <v>0</v>
      </c>
      <c r="AH105" s="15">
        <f t="shared" si="127"/>
        <v>0</v>
      </c>
      <c r="AI105" s="15">
        <f t="shared" si="128"/>
        <v>0</v>
      </c>
      <c r="AO105" s="15">
        <f t="shared" si="118"/>
        <v>0</v>
      </c>
      <c r="AP105" s="15">
        <f t="shared" si="129"/>
        <v>0</v>
      </c>
      <c r="AQ105" s="15">
        <f t="shared" si="130"/>
        <v>0</v>
      </c>
      <c r="AV105" s="15">
        <f>COUNTIF(AR105:AU105,"PR")</f>
        <v>0</v>
      </c>
      <c r="AW105" s="15">
        <f t="shared" si="147"/>
        <v>0</v>
      </c>
      <c r="AX105" s="15">
        <f t="shared" si="138"/>
        <v>0</v>
      </c>
      <c r="AY105" s="15">
        <f>AI105+AQ105+AX105</f>
        <v>0</v>
      </c>
      <c r="AZ105" s="15">
        <f>SUM(AG105,AO105,AV105)</f>
        <v>0</v>
      </c>
      <c r="BA105" s="78" t="e">
        <f t="shared" si="124"/>
        <v>#DIV/0!</v>
      </c>
      <c r="BD105" s="1"/>
      <c r="BF105" s="15">
        <f t="shared" si="119"/>
        <v>0</v>
      </c>
      <c r="BG105" s="15">
        <f t="shared" si="131"/>
        <v>0</v>
      </c>
      <c r="BH105" s="15">
        <f t="shared" si="132"/>
        <v>0</v>
      </c>
      <c r="BN105" s="15">
        <f t="shared" si="120"/>
        <v>0</v>
      </c>
      <c r="BO105" s="15">
        <f t="shared" si="148"/>
        <v>0</v>
      </c>
      <c r="BP105" s="15">
        <f t="shared" si="133"/>
        <v>0</v>
      </c>
      <c r="BU105" s="15">
        <f t="shared" si="121"/>
        <v>0</v>
      </c>
      <c r="BV105" s="15">
        <f t="shared" si="134"/>
        <v>0</v>
      </c>
      <c r="BW105" s="15">
        <f t="shared" si="135"/>
        <v>0</v>
      </c>
      <c r="BX105" s="15">
        <f t="shared" si="141"/>
        <v>0</v>
      </c>
      <c r="BY105" s="15">
        <f t="shared" si="142"/>
        <v>0</v>
      </c>
      <c r="BZ105" s="78" t="e">
        <f t="shared" si="125"/>
        <v>#DIV/0!</v>
      </c>
      <c r="CA105" s="78"/>
      <c r="CG105" s="15">
        <f>COUNTIF(CB105:CF105,"PR")</f>
        <v>0</v>
      </c>
      <c r="CH105" s="15">
        <f>COUNTIF(CB105:CF105,"AB")</f>
        <v>0</v>
      </c>
      <c r="CI105" s="15">
        <f t="shared" si="136"/>
        <v>0</v>
      </c>
      <c r="CN105" s="15">
        <f>COUNTIF(CJ105:CM105,"PR")</f>
        <v>0</v>
      </c>
      <c r="CO105" s="15">
        <f>COUNTIF(CJ105:CM105,"AB")</f>
        <v>0</v>
      </c>
      <c r="CP105" s="15">
        <f t="shared" si="137"/>
        <v>0</v>
      </c>
      <c r="CU105" s="15">
        <f t="shared" si="122"/>
        <v>0</v>
      </c>
      <c r="CV105" s="15">
        <f t="shared" si="143"/>
        <v>0</v>
      </c>
      <c r="CW105" s="15">
        <f t="shared" si="144"/>
        <v>0</v>
      </c>
      <c r="CX105" s="15">
        <f>CG105+CN105+CU105</f>
        <v>0</v>
      </c>
      <c r="CY105" s="15" t="e">
        <f>SUM(CE105,#REF!,CS105)</f>
        <v>#REF!</v>
      </c>
      <c r="CZ105" s="78" t="e">
        <f t="shared" si="126"/>
        <v>#REF!</v>
      </c>
      <c r="DA105" s="78"/>
    </row>
    <row r="106" spans="1:105">
      <c r="A106" s="91"/>
      <c r="B106" s="14"/>
      <c r="H106" s="15">
        <f t="shared" si="140"/>
        <v>0</v>
      </c>
      <c r="I106" s="18">
        <f t="shared" si="112"/>
        <v>0</v>
      </c>
      <c r="J106" s="15">
        <f t="shared" si="113"/>
        <v>0</v>
      </c>
      <c r="O106" s="15">
        <f t="shared" si="116"/>
        <v>0</v>
      </c>
      <c r="P106" s="18">
        <f t="shared" si="114"/>
        <v>0</v>
      </c>
      <c r="Q106" s="15">
        <f t="shared" si="115"/>
        <v>0</v>
      </c>
      <c r="V106" s="15">
        <f t="shared" si="145"/>
        <v>0</v>
      </c>
      <c r="W106" s="15">
        <f t="shared" si="146"/>
        <v>0</v>
      </c>
      <c r="X106" s="15">
        <f t="shared" si="139"/>
        <v>0</v>
      </c>
      <c r="Y106" s="15">
        <f>J106+Q106+X106</f>
        <v>0</v>
      </c>
      <c r="Z106" s="15">
        <f>SUM(H106,O106,V106)</f>
        <v>0</v>
      </c>
      <c r="AA106" s="78" t="e">
        <f t="shared" si="123"/>
        <v>#DIV/0!</v>
      </c>
      <c r="AB106" s="78"/>
      <c r="AG106" s="15">
        <f t="shared" si="117"/>
        <v>0</v>
      </c>
      <c r="AH106" s="15">
        <f t="shared" si="127"/>
        <v>0</v>
      </c>
      <c r="AI106" s="15">
        <f t="shared" si="128"/>
        <v>0</v>
      </c>
      <c r="AO106" s="15">
        <f t="shared" si="118"/>
        <v>0</v>
      </c>
      <c r="AP106" s="15">
        <f t="shared" si="129"/>
        <v>0</v>
      </c>
      <c r="AQ106" s="15">
        <f t="shared" si="130"/>
        <v>0</v>
      </c>
      <c r="AV106" s="15">
        <f>COUNTIF(AR106:AU106,"PR")</f>
        <v>0</v>
      </c>
      <c r="AW106" s="15">
        <f t="shared" si="147"/>
        <v>0</v>
      </c>
      <c r="AX106" s="15">
        <f t="shared" si="138"/>
        <v>0</v>
      </c>
      <c r="AY106" s="15">
        <f>AI106+AQ106+AX106</f>
        <v>0</v>
      </c>
      <c r="AZ106" s="15">
        <f>SUM(AG106,AO106,AV106)</f>
        <v>0</v>
      </c>
      <c r="BA106" s="78" t="e">
        <f t="shared" si="124"/>
        <v>#DIV/0!</v>
      </c>
      <c r="BD106" s="1"/>
      <c r="BF106" s="15">
        <f t="shared" si="119"/>
        <v>0</v>
      </c>
      <c r="BG106" s="15">
        <f t="shared" si="131"/>
        <v>0</v>
      </c>
      <c r="BH106" s="15">
        <f t="shared" si="132"/>
        <v>0</v>
      </c>
      <c r="BN106" s="15">
        <f t="shared" si="120"/>
        <v>0</v>
      </c>
      <c r="BO106" s="15">
        <f t="shared" si="148"/>
        <v>0</v>
      </c>
      <c r="BP106" s="15">
        <f t="shared" si="133"/>
        <v>0</v>
      </c>
      <c r="BU106" s="15">
        <f t="shared" si="121"/>
        <v>0</v>
      </c>
      <c r="BV106" s="15">
        <f t="shared" si="134"/>
        <v>0</v>
      </c>
      <c r="BW106" s="15">
        <f t="shared" si="135"/>
        <v>0</v>
      </c>
      <c r="BX106" s="15">
        <f t="shared" si="141"/>
        <v>0</v>
      </c>
      <c r="BY106" s="15">
        <f t="shared" si="142"/>
        <v>0</v>
      </c>
      <c r="BZ106" s="78" t="e">
        <f t="shared" si="125"/>
        <v>#DIV/0!</v>
      </c>
      <c r="CA106" s="78"/>
      <c r="CG106" s="15">
        <f>COUNTIF(CB106:CF106,"PR")</f>
        <v>0</v>
      </c>
      <c r="CH106" s="15">
        <f>COUNTIF(CB106:CF106,"AB")</f>
        <v>0</v>
      </c>
      <c r="CI106" s="15">
        <f t="shared" si="136"/>
        <v>0</v>
      </c>
      <c r="CN106" s="15">
        <f>COUNTIF(CJ106:CM106,"PR")</f>
        <v>0</v>
      </c>
      <c r="CO106" s="15">
        <f>COUNTIF(CJ106:CM106,"AB")</f>
        <v>0</v>
      </c>
      <c r="CP106" s="15">
        <f t="shared" si="137"/>
        <v>0</v>
      </c>
      <c r="CU106" s="15">
        <f t="shared" si="122"/>
        <v>0</v>
      </c>
      <c r="CV106" s="15">
        <f t="shared" si="143"/>
        <v>0</v>
      </c>
      <c r="CW106" s="15">
        <f t="shared" si="144"/>
        <v>0</v>
      </c>
      <c r="CX106" s="15">
        <f>CG106+CN106+CU106</f>
        <v>0</v>
      </c>
      <c r="CY106" s="15" t="e">
        <f>SUM(CE106,#REF!,CS106)</f>
        <v>#REF!</v>
      </c>
      <c r="CZ106" s="78" t="e">
        <f t="shared" si="126"/>
        <v>#REF!</v>
      </c>
      <c r="DA106" s="78"/>
    </row>
    <row r="107" spans="1:105">
      <c r="A107" s="91"/>
      <c r="B107" s="14"/>
      <c r="H107" s="15">
        <f t="shared" si="140"/>
        <v>0</v>
      </c>
      <c r="I107" s="18">
        <f t="shared" si="112"/>
        <v>0</v>
      </c>
      <c r="J107" s="15">
        <f t="shared" si="113"/>
        <v>0</v>
      </c>
      <c r="O107" s="15">
        <f t="shared" si="116"/>
        <v>0</v>
      </c>
      <c r="P107" s="18">
        <f t="shared" si="114"/>
        <v>0</v>
      </c>
      <c r="Q107" s="15">
        <f t="shared" si="115"/>
        <v>0</v>
      </c>
      <c r="V107" s="15">
        <f t="shared" si="145"/>
        <v>0</v>
      </c>
      <c r="W107" s="15">
        <f t="shared" si="146"/>
        <v>0</v>
      </c>
      <c r="X107" s="15">
        <f t="shared" si="139"/>
        <v>0</v>
      </c>
      <c r="Y107" s="15">
        <f>J107+Q107+X107</f>
        <v>0</v>
      </c>
      <c r="Z107" s="15">
        <f>SUM(H107,O107,V107)</f>
        <v>0</v>
      </c>
      <c r="AA107" s="78" t="e">
        <f t="shared" si="123"/>
        <v>#DIV/0!</v>
      </c>
      <c r="AB107" s="78"/>
      <c r="AG107" s="15">
        <f t="shared" si="117"/>
        <v>0</v>
      </c>
      <c r="AH107" s="15">
        <f t="shared" si="127"/>
        <v>0</v>
      </c>
      <c r="AI107" s="15">
        <f t="shared" si="128"/>
        <v>0</v>
      </c>
      <c r="AO107" s="15">
        <f t="shared" si="118"/>
        <v>0</v>
      </c>
      <c r="AP107" s="15">
        <f t="shared" si="129"/>
        <v>0</v>
      </c>
      <c r="AQ107" s="15">
        <f t="shared" si="130"/>
        <v>0</v>
      </c>
      <c r="AV107" s="15">
        <f>COUNTIF(AR107:AU107,"PR")</f>
        <v>0</v>
      </c>
      <c r="AW107" s="15">
        <f t="shared" si="147"/>
        <v>0</v>
      </c>
      <c r="AX107" s="15">
        <f t="shared" si="138"/>
        <v>0</v>
      </c>
      <c r="AY107" s="15">
        <f>AI107+AQ107+AX107</f>
        <v>0</v>
      </c>
      <c r="AZ107" s="15">
        <f>SUM(AG107,AO107,AV107)</f>
        <v>0</v>
      </c>
      <c r="BA107" s="78" t="e">
        <f t="shared" si="124"/>
        <v>#DIV/0!</v>
      </c>
      <c r="BD107" s="1"/>
      <c r="BF107" s="15">
        <f t="shared" si="119"/>
        <v>0</v>
      </c>
      <c r="BG107" s="15">
        <f t="shared" si="131"/>
        <v>0</v>
      </c>
      <c r="BH107" s="15">
        <f t="shared" si="132"/>
        <v>0</v>
      </c>
      <c r="BN107" s="15">
        <f t="shared" si="120"/>
        <v>0</v>
      </c>
      <c r="BO107" s="15">
        <f t="shared" si="148"/>
        <v>0</v>
      </c>
      <c r="BP107" s="15">
        <f t="shared" si="133"/>
        <v>0</v>
      </c>
      <c r="BU107" s="15">
        <f t="shared" si="121"/>
        <v>0</v>
      </c>
      <c r="BV107" s="15">
        <f t="shared" si="134"/>
        <v>0</v>
      </c>
      <c r="BW107" s="15">
        <f t="shared" si="135"/>
        <v>0</v>
      </c>
      <c r="BX107" s="15">
        <f t="shared" si="141"/>
        <v>0</v>
      </c>
      <c r="BY107" s="15">
        <f t="shared" si="142"/>
        <v>0</v>
      </c>
      <c r="BZ107" s="78" t="e">
        <f t="shared" si="125"/>
        <v>#DIV/0!</v>
      </c>
      <c r="CA107" s="78"/>
      <c r="CG107" s="15">
        <f>COUNTIF(CB107:CF107,"PR")</f>
        <v>0</v>
      </c>
      <c r="CH107" s="15">
        <f>COUNTIF(CB107:CF107,"AB")</f>
        <v>0</v>
      </c>
      <c r="CI107" s="15">
        <f t="shared" si="136"/>
        <v>0</v>
      </c>
      <c r="CN107" s="15">
        <f>COUNTIF(CJ107:CM107,"PR")</f>
        <v>0</v>
      </c>
      <c r="CO107" s="15">
        <f>COUNTIF(CJ107:CM107,"AB")</f>
        <v>0</v>
      </c>
      <c r="CP107" s="15">
        <f t="shared" si="137"/>
        <v>0</v>
      </c>
      <c r="CU107" s="15">
        <f t="shared" si="122"/>
        <v>0</v>
      </c>
      <c r="CV107" s="15">
        <f t="shared" si="143"/>
        <v>0</v>
      </c>
      <c r="CW107" s="15">
        <f t="shared" si="144"/>
        <v>0</v>
      </c>
      <c r="CX107" s="15">
        <f>CG107+CN107+CU107</f>
        <v>0</v>
      </c>
      <c r="CY107" s="15" t="e">
        <f>SUM(CE107,#REF!,CS107)</f>
        <v>#REF!</v>
      </c>
      <c r="CZ107" s="78" t="e">
        <f t="shared" si="126"/>
        <v>#REF!</v>
      </c>
      <c r="DA107" s="78"/>
    </row>
    <row r="108" spans="1:105">
      <c r="A108" s="91"/>
      <c r="B108" s="14"/>
      <c r="H108" s="15">
        <f t="shared" si="140"/>
        <v>0</v>
      </c>
      <c r="I108" s="18">
        <f t="shared" si="112"/>
        <v>0</v>
      </c>
      <c r="J108" s="15">
        <f t="shared" si="113"/>
        <v>0</v>
      </c>
      <c r="O108" s="15">
        <f t="shared" si="116"/>
        <v>0</v>
      </c>
      <c r="P108" s="18">
        <f t="shared" si="114"/>
        <v>0</v>
      </c>
      <c r="Q108" s="15">
        <f t="shared" si="115"/>
        <v>0</v>
      </c>
      <c r="V108" s="15">
        <f t="shared" si="145"/>
        <v>0</v>
      </c>
      <c r="W108" s="15">
        <f t="shared" si="146"/>
        <v>0</v>
      </c>
      <c r="X108" s="15">
        <f t="shared" si="139"/>
        <v>0</v>
      </c>
      <c r="Y108" s="15">
        <f>J108+Q108+X108</f>
        <v>0</v>
      </c>
      <c r="Z108" s="15">
        <f>SUM(H108,O108,V108)</f>
        <v>0</v>
      </c>
      <c r="AA108" s="78" t="e">
        <f t="shared" si="123"/>
        <v>#DIV/0!</v>
      </c>
      <c r="AB108" s="78"/>
      <c r="AG108" s="15">
        <f t="shared" si="117"/>
        <v>0</v>
      </c>
      <c r="AH108" s="15">
        <f t="shared" si="127"/>
        <v>0</v>
      </c>
      <c r="AI108" s="15">
        <f t="shared" si="128"/>
        <v>0</v>
      </c>
      <c r="AO108" s="15">
        <f t="shared" si="118"/>
        <v>0</v>
      </c>
      <c r="AP108" s="15">
        <f t="shared" si="129"/>
        <v>0</v>
      </c>
      <c r="AQ108" s="15">
        <f t="shared" si="130"/>
        <v>0</v>
      </c>
      <c r="AV108" s="15">
        <f>COUNTIF(AR108:AU108,"PR")</f>
        <v>0</v>
      </c>
      <c r="AW108" s="15">
        <f t="shared" si="147"/>
        <v>0</v>
      </c>
      <c r="AX108" s="15">
        <f t="shared" si="138"/>
        <v>0</v>
      </c>
      <c r="AY108" s="15">
        <f>AI108+AQ108+AX108</f>
        <v>0</v>
      </c>
      <c r="AZ108" s="15">
        <f>SUM(AG108,AO108,AV108)</f>
        <v>0</v>
      </c>
      <c r="BA108" s="78" t="e">
        <f t="shared" si="124"/>
        <v>#DIV/0!</v>
      </c>
      <c r="BD108" s="1"/>
      <c r="BF108" s="15">
        <f t="shared" si="119"/>
        <v>0</v>
      </c>
      <c r="BG108" s="15">
        <f t="shared" si="131"/>
        <v>0</v>
      </c>
      <c r="BH108" s="15">
        <f t="shared" si="132"/>
        <v>0</v>
      </c>
      <c r="BN108" s="15">
        <f t="shared" si="120"/>
        <v>0</v>
      </c>
      <c r="BO108" s="15">
        <f t="shared" si="148"/>
        <v>0</v>
      </c>
      <c r="BP108" s="15">
        <f t="shared" si="133"/>
        <v>0</v>
      </c>
      <c r="BU108" s="15">
        <f t="shared" si="121"/>
        <v>0</v>
      </c>
      <c r="BV108" s="15">
        <f t="shared" si="134"/>
        <v>0</v>
      </c>
      <c r="BW108" s="15">
        <f t="shared" si="135"/>
        <v>0</v>
      </c>
      <c r="BX108" s="15">
        <f t="shared" si="141"/>
        <v>0</v>
      </c>
      <c r="BY108" s="15">
        <f t="shared" si="142"/>
        <v>0</v>
      </c>
      <c r="BZ108" s="78" t="e">
        <f t="shared" si="125"/>
        <v>#DIV/0!</v>
      </c>
      <c r="CA108" s="78"/>
      <c r="CG108" s="15">
        <f>COUNTIF(CB108:CF108,"PR")</f>
        <v>0</v>
      </c>
      <c r="CH108" s="15">
        <f>COUNTIF(CB108:CF108,"AB")</f>
        <v>0</v>
      </c>
      <c r="CI108" s="15">
        <f t="shared" si="136"/>
        <v>0</v>
      </c>
      <c r="CN108" s="15">
        <f>COUNTIF(CJ108:CM108,"PR")</f>
        <v>0</v>
      </c>
      <c r="CO108" s="15">
        <f>COUNTIF(CJ108:CM108,"AB")</f>
        <v>0</v>
      </c>
      <c r="CP108" s="15">
        <f t="shared" si="137"/>
        <v>0</v>
      </c>
      <c r="CU108" s="15">
        <f t="shared" si="122"/>
        <v>0</v>
      </c>
      <c r="CV108" s="15">
        <f t="shared" si="143"/>
        <v>0</v>
      </c>
      <c r="CW108" s="15">
        <f t="shared" si="144"/>
        <v>0</v>
      </c>
      <c r="CX108" s="15">
        <f>CG108+CN108+CU108</f>
        <v>0</v>
      </c>
      <c r="CY108" s="15" t="e">
        <f>SUM(CE108,#REF!,CS108)</f>
        <v>#REF!</v>
      </c>
      <c r="CZ108" s="78" t="e">
        <f t="shared" si="126"/>
        <v>#REF!</v>
      </c>
      <c r="DA108" s="78"/>
    </row>
    <row r="109" spans="1:105">
      <c r="A109" s="91"/>
      <c r="B109" s="14"/>
      <c r="H109" s="15">
        <f t="shared" si="140"/>
        <v>0</v>
      </c>
      <c r="I109" s="18">
        <f t="shared" si="112"/>
        <v>0</v>
      </c>
      <c r="J109" s="15">
        <f t="shared" si="113"/>
        <v>0</v>
      </c>
      <c r="O109" s="15">
        <f t="shared" si="116"/>
        <v>0</v>
      </c>
      <c r="P109" s="18">
        <f t="shared" si="114"/>
        <v>0</v>
      </c>
      <c r="Q109" s="15">
        <f t="shared" si="115"/>
        <v>0</v>
      </c>
      <c r="V109" s="15">
        <f t="shared" si="145"/>
        <v>0</v>
      </c>
      <c r="W109" s="15">
        <f t="shared" si="146"/>
        <v>0</v>
      </c>
      <c r="X109" s="15">
        <f t="shared" si="139"/>
        <v>0</v>
      </c>
      <c r="Y109" s="15">
        <f>J109+Q109+X109</f>
        <v>0</v>
      </c>
      <c r="Z109" s="15">
        <f>SUM(H109,O109,V109)</f>
        <v>0</v>
      </c>
      <c r="AA109" s="78" t="e">
        <f t="shared" si="123"/>
        <v>#DIV/0!</v>
      </c>
      <c r="AB109" s="78"/>
      <c r="AG109" s="15">
        <f t="shared" si="117"/>
        <v>0</v>
      </c>
      <c r="AH109" s="15">
        <f t="shared" si="127"/>
        <v>0</v>
      </c>
      <c r="AI109" s="15">
        <f t="shared" si="128"/>
        <v>0</v>
      </c>
      <c r="AO109" s="15">
        <f t="shared" si="118"/>
        <v>0</v>
      </c>
      <c r="AP109" s="15">
        <f t="shared" si="129"/>
        <v>0</v>
      </c>
      <c r="AQ109" s="15">
        <f t="shared" si="130"/>
        <v>0</v>
      </c>
      <c r="AV109" s="15">
        <f>COUNTIF(AR109:AU109,"PR")</f>
        <v>0</v>
      </c>
      <c r="AW109" s="15">
        <f t="shared" si="147"/>
        <v>0</v>
      </c>
      <c r="AX109" s="15">
        <f t="shared" si="138"/>
        <v>0</v>
      </c>
      <c r="AY109" s="15">
        <f>AI109+AQ109+AX109</f>
        <v>0</v>
      </c>
      <c r="AZ109" s="15">
        <f>SUM(AG109,AO109,AV109)</f>
        <v>0</v>
      </c>
      <c r="BA109" s="78" t="e">
        <f t="shared" si="124"/>
        <v>#DIV/0!</v>
      </c>
      <c r="BD109" s="1"/>
      <c r="BF109" s="15">
        <f t="shared" si="119"/>
        <v>0</v>
      </c>
      <c r="BG109" s="15">
        <f t="shared" si="131"/>
        <v>0</v>
      </c>
      <c r="BH109" s="15">
        <f t="shared" si="132"/>
        <v>0</v>
      </c>
      <c r="BN109" s="15">
        <f t="shared" si="120"/>
        <v>0</v>
      </c>
      <c r="BO109" s="15">
        <f t="shared" si="148"/>
        <v>0</v>
      </c>
      <c r="BP109" s="15">
        <f t="shared" si="133"/>
        <v>0</v>
      </c>
      <c r="BU109" s="15">
        <f t="shared" si="121"/>
        <v>0</v>
      </c>
      <c r="BV109" s="15">
        <f t="shared" si="134"/>
        <v>0</v>
      </c>
      <c r="BW109" s="15">
        <f t="shared" si="135"/>
        <v>0</v>
      </c>
      <c r="BX109" s="15">
        <f t="shared" si="141"/>
        <v>0</v>
      </c>
      <c r="BY109" s="15">
        <f t="shared" si="142"/>
        <v>0</v>
      </c>
      <c r="BZ109" s="78" t="e">
        <f t="shared" si="125"/>
        <v>#DIV/0!</v>
      </c>
      <c r="CA109" s="78"/>
      <c r="CG109" s="15">
        <f>COUNTIF(CB109:CF109,"PR")</f>
        <v>0</v>
      </c>
      <c r="CH109" s="15">
        <f>COUNTIF(CB109:CF109,"AB")</f>
        <v>0</v>
      </c>
      <c r="CI109" s="15">
        <f t="shared" si="136"/>
        <v>0</v>
      </c>
      <c r="CN109" s="15">
        <f>COUNTIF(CJ109:CM109,"PR")</f>
        <v>0</v>
      </c>
      <c r="CO109" s="15">
        <f>COUNTIF(CJ109:CM109,"AB")</f>
        <v>0</v>
      </c>
      <c r="CP109" s="15">
        <f t="shared" si="137"/>
        <v>0</v>
      </c>
      <c r="CU109" s="15">
        <f t="shared" si="122"/>
        <v>0</v>
      </c>
      <c r="CV109" s="15">
        <f t="shared" si="143"/>
        <v>0</v>
      </c>
      <c r="CW109" s="15">
        <f t="shared" si="144"/>
        <v>0</v>
      </c>
      <c r="CX109" s="15">
        <f>CG109+CN109+CU109</f>
        <v>0</v>
      </c>
      <c r="CY109" s="15" t="e">
        <f>SUM(CE109,#REF!,CS109)</f>
        <v>#REF!</v>
      </c>
      <c r="CZ109" s="78" t="e">
        <f t="shared" si="126"/>
        <v>#REF!</v>
      </c>
      <c r="DA109" s="78"/>
    </row>
    <row r="110" spans="1:105">
      <c r="A110" s="91"/>
      <c r="B110" s="14"/>
      <c r="H110" s="15">
        <f t="shared" si="140"/>
        <v>0</v>
      </c>
      <c r="I110" s="18">
        <f t="shared" si="112"/>
        <v>0</v>
      </c>
      <c r="J110" s="15">
        <f t="shared" si="113"/>
        <v>0</v>
      </c>
      <c r="O110" s="15">
        <f t="shared" si="116"/>
        <v>0</v>
      </c>
      <c r="P110" s="18">
        <f t="shared" si="114"/>
        <v>0</v>
      </c>
      <c r="Q110" s="15">
        <f t="shared" si="115"/>
        <v>0</v>
      </c>
      <c r="V110" s="15">
        <f t="shared" si="145"/>
        <v>0</v>
      </c>
      <c r="W110" s="15">
        <f t="shared" si="146"/>
        <v>0</v>
      </c>
      <c r="X110" s="15">
        <f t="shared" si="139"/>
        <v>0</v>
      </c>
      <c r="Y110" s="15">
        <f>J110+Q110+X110</f>
        <v>0</v>
      </c>
      <c r="Z110" s="15">
        <f>SUM(H110,O110,V110)</f>
        <v>0</v>
      </c>
      <c r="AA110" s="78" t="e">
        <f t="shared" si="123"/>
        <v>#DIV/0!</v>
      </c>
      <c r="AB110" s="78"/>
      <c r="AG110" s="15">
        <f t="shared" si="117"/>
        <v>0</v>
      </c>
      <c r="AH110" s="15">
        <f t="shared" si="127"/>
        <v>0</v>
      </c>
      <c r="AI110" s="15">
        <f t="shared" si="128"/>
        <v>0</v>
      </c>
      <c r="AO110" s="15">
        <f t="shared" si="118"/>
        <v>0</v>
      </c>
      <c r="AP110" s="15">
        <f t="shared" si="129"/>
        <v>0</v>
      </c>
      <c r="AQ110" s="15">
        <f t="shared" si="130"/>
        <v>0</v>
      </c>
      <c r="AV110" s="15">
        <f>COUNTIF(AR110:AU110,"PR")</f>
        <v>0</v>
      </c>
      <c r="AW110" s="15">
        <f t="shared" si="147"/>
        <v>0</v>
      </c>
      <c r="AX110" s="15">
        <f t="shared" si="138"/>
        <v>0</v>
      </c>
      <c r="AY110" s="15">
        <f>AI110+AQ110+AX110</f>
        <v>0</v>
      </c>
      <c r="AZ110" s="15">
        <f>SUM(AG110,AO110,AV110)</f>
        <v>0</v>
      </c>
      <c r="BA110" s="78" t="e">
        <f t="shared" si="124"/>
        <v>#DIV/0!</v>
      </c>
      <c r="BD110" s="1"/>
      <c r="BF110" s="15">
        <f t="shared" si="119"/>
        <v>0</v>
      </c>
      <c r="BG110" s="15">
        <f t="shared" si="131"/>
        <v>0</v>
      </c>
      <c r="BH110" s="15">
        <f t="shared" si="132"/>
        <v>0</v>
      </c>
      <c r="BN110" s="15">
        <f t="shared" si="120"/>
        <v>0</v>
      </c>
      <c r="BO110" s="15">
        <f t="shared" si="148"/>
        <v>0</v>
      </c>
      <c r="BP110" s="15">
        <f t="shared" si="133"/>
        <v>0</v>
      </c>
      <c r="BU110" s="15">
        <f t="shared" si="121"/>
        <v>0</v>
      </c>
      <c r="BV110" s="15">
        <f t="shared" si="134"/>
        <v>0</v>
      </c>
      <c r="BW110" s="15">
        <f t="shared" si="135"/>
        <v>0</v>
      </c>
      <c r="BX110" s="15">
        <f t="shared" si="141"/>
        <v>0</v>
      </c>
      <c r="BY110" s="15">
        <f t="shared" si="142"/>
        <v>0</v>
      </c>
      <c r="BZ110" s="78" t="e">
        <f t="shared" si="125"/>
        <v>#DIV/0!</v>
      </c>
      <c r="CA110" s="78"/>
      <c r="CG110" s="15">
        <f>COUNTIF(CB110:CF110,"PR")</f>
        <v>0</v>
      </c>
      <c r="CH110" s="15">
        <f>COUNTIF(CB110:CF110,"AB")</f>
        <v>0</v>
      </c>
      <c r="CI110" s="15">
        <f t="shared" si="136"/>
        <v>0</v>
      </c>
      <c r="CN110" s="15">
        <f>COUNTIF(CJ110:CM110,"PR")</f>
        <v>0</v>
      </c>
      <c r="CO110" s="15">
        <f>COUNTIF(CJ110:CM110,"AB")</f>
        <v>0</v>
      </c>
      <c r="CP110" s="15">
        <f t="shared" si="137"/>
        <v>0</v>
      </c>
      <c r="CU110" s="15">
        <f t="shared" si="122"/>
        <v>0</v>
      </c>
      <c r="CV110" s="15">
        <f t="shared" si="143"/>
        <v>0</v>
      </c>
      <c r="CW110" s="15">
        <f t="shared" si="144"/>
        <v>0</v>
      </c>
      <c r="CX110" s="15">
        <f>CG110+CN110+CU110</f>
        <v>0</v>
      </c>
      <c r="CY110" s="15" t="e">
        <f>SUM(CE110,#REF!,CS110)</f>
        <v>#REF!</v>
      </c>
      <c r="CZ110" s="78" t="e">
        <f t="shared" si="126"/>
        <v>#REF!</v>
      </c>
      <c r="DA110" s="78"/>
    </row>
    <row r="111" spans="1:105">
      <c r="A111" s="91"/>
      <c r="B111" s="14"/>
      <c r="H111" s="15">
        <f t="shared" si="140"/>
        <v>0</v>
      </c>
      <c r="I111" s="18">
        <f t="shared" si="112"/>
        <v>0</v>
      </c>
      <c r="J111" s="15">
        <f t="shared" si="113"/>
        <v>0</v>
      </c>
      <c r="O111" s="15">
        <f t="shared" si="116"/>
        <v>0</v>
      </c>
      <c r="P111" s="18">
        <f t="shared" si="114"/>
        <v>0</v>
      </c>
      <c r="Q111" s="15">
        <f t="shared" si="115"/>
        <v>0</v>
      </c>
      <c r="V111" s="15">
        <f t="shared" si="145"/>
        <v>0</v>
      </c>
      <c r="W111" s="15">
        <f t="shared" si="146"/>
        <v>0</v>
      </c>
      <c r="X111" s="15">
        <f t="shared" si="139"/>
        <v>0</v>
      </c>
      <c r="Y111" s="15">
        <f>J111+Q111+X111</f>
        <v>0</v>
      </c>
      <c r="Z111" s="15">
        <f>SUM(H111,O111,V111)</f>
        <v>0</v>
      </c>
      <c r="AA111" s="78" t="e">
        <f t="shared" si="123"/>
        <v>#DIV/0!</v>
      </c>
      <c r="AB111" s="78"/>
      <c r="AG111" s="15">
        <f t="shared" si="117"/>
        <v>0</v>
      </c>
      <c r="AH111" s="15">
        <f t="shared" si="127"/>
        <v>0</v>
      </c>
      <c r="AI111" s="15">
        <f t="shared" si="128"/>
        <v>0</v>
      </c>
      <c r="AO111" s="15">
        <f t="shared" si="118"/>
        <v>0</v>
      </c>
      <c r="AP111" s="15">
        <f t="shared" si="129"/>
        <v>0</v>
      </c>
      <c r="AQ111" s="15">
        <f t="shared" si="130"/>
        <v>0</v>
      </c>
      <c r="AV111" s="15">
        <f>COUNTIF(AR111:AU111,"PR")</f>
        <v>0</v>
      </c>
      <c r="AW111" s="15">
        <f t="shared" si="147"/>
        <v>0</v>
      </c>
      <c r="AX111" s="15">
        <f t="shared" si="138"/>
        <v>0</v>
      </c>
      <c r="AY111" s="15">
        <f>AI111+AQ111+AX111</f>
        <v>0</v>
      </c>
      <c r="AZ111" s="15">
        <f>SUM(AG111,AO111,AV111)</f>
        <v>0</v>
      </c>
      <c r="BA111" s="78" t="e">
        <f t="shared" si="124"/>
        <v>#DIV/0!</v>
      </c>
      <c r="BD111" s="1"/>
      <c r="BF111" s="15">
        <f t="shared" si="119"/>
        <v>0</v>
      </c>
      <c r="BG111" s="15">
        <f t="shared" si="131"/>
        <v>0</v>
      </c>
      <c r="BH111" s="15">
        <f t="shared" si="132"/>
        <v>0</v>
      </c>
      <c r="BN111" s="15">
        <f t="shared" si="120"/>
        <v>0</v>
      </c>
      <c r="BO111" s="15">
        <f t="shared" si="148"/>
        <v>0</v>
      </c>
      <c r="BP111" s="15">
        <f t="shared" si="133"/>
        <v>0</v>
      </c>
      <c r="BU111" s="15">
        <f t="shared" si="121"/>
        <v>0</v>
      </c>
      <c r="BV111" s="15">
        <f t="shared" si="134"/>
        <v>0</v>
      </c>
      <c r="BW111" s="15">
        <f t="shared" si="135"/>
        <v>0</v>
      </c>
      <c r="BX111" s="15">
        <f t="shared" si="141"/>
        <v>0</v>
      </c>
      <c r="BY111" s="15">
        <f t="shared" si="142"/>
        <v>0</v>
      </c>
      <c r="BZ111" s="78" t="e">
        <f t="shared" si="125"/>
        <v>#DIV/0!</v>
      </c>
      <c r="CA111" s="78"/>
      <c r="CG111" s="15">
        <f>COUNTIF(CB111:CF111,"PR")</f>
        <v>0</v>
      </c>
      <c r="CH111" s="15">
        <f>COUNTIF(CB111:CF111,"AB")</f>
        <v>0</v>
      </c>
      <c r="CI111" s="15">
        <f t="shared" si="136"/>
        <v>0</v>
      </c>
      <c r="CN111" s="15">
        <f>COUNTIF(CJ111:CM111,"PR")</f>
        <v>0</v>
      </c>
      <c r="CO111" s="15">
        <f>COUNTIF(CJ111:CM111,"AB")</f>
        <v>0</v>
      </c>
      <c r="CP111" s="15">
        <f t="shared" si="137"/>
        <v>0</v>
      </c>
      <c r="CU111" s="15">
        <f t="shared" si="122"/>
        <v>0</v>
      </c>
      <c r="CV111" s="15">
        <f t="shared" si="143"/>
        <v>0</v>
      </c>
      <c r="CW111" s="15">
        <f t="shared" si="144"/>
        <v>0</v>
      </c>
      <c r="CX111" s="15">
        <f>CG111+CN111+CU111</f>
        <v>0</v>
      </c>
      <c r="CY111" s="15" t="e">
        <f>SUM(CE111,#REF!,CS111)</f>
        <v>#REF!</v>
      </c>
      <c r="CZ111" s="78" t="e">
        <f t="shared" si="126"/>
        <v>#REF!</v>
      </c>
      <c r="DA111" s="78"/>
    </row>
    <row r="112" spans="1:105">
      <c r="A112" s="91"/>
      <c r="B112" s="14"/>
      <c r="H112" s="15">
        <f t="shared" si="140"/>
        <v>0</v>
      </c>
      <c r="I112" s="18">
        <f t="shared" ref="I112:I176" si="149">COUNTIF(C112:G112,"AB")</f>
        <v>0</v>
      </c>
      <c r="J112" s="15">
        <f t="shared" ref="J112:J176" si="150">H112+I112</f>
        <v>0</v>
      </c>
      <c r="O112" s="15">
        <f t="shared" si="116"/>
        <v>0</v>
      </c>
      <c r="P112" s="18">
        <f t="shared" si="114"/>
        <v>0</v>
      </c>
      <c r="Q112" s="15">
        <f t="shared" si="115"/>
        <v>0</v>
      </c>
      <c r="V112" s="15">
        <f t="shared" si="145"/>
        <v>0</v>
      </c>
      <c r="W112" s="15">
        <f t="shared" si="146"/>
        <v>0</v>
      </c>
      <c r="X112" s="15">
        <f t="shared" si="139"/>
        <v>0</v>
      </c>
      <c r="Y112" s="15">
        <f>J112+Q112+X112</f>
        <v>0</v>
      </c>
      <c r="Z112" s="15">
        <f>SUM(H112,O112,V112)</f>
        <v>0</v>
      </c>
      <c r="AA112" s="78" t="e">
        <f t="shared" si="123"/>
        <v>#DIV/0!</v>
      </c>
      <c r="AB112" s="78"/>
      <c r="AC112" s="76"/>
      <c r="AD112" s="72"/>
      <c r="AE112" s="72"/>
      <c r="AF112" s="72"/>
      <c r="AG112" s="15">
        <f t="shared" si="117"/>
        <v>0</v>
      </c>
      <c r="AH112" s="15">
        <f t="shared" si="127"/>
        <v>0</v>
      </c>
      <c r="AI112" s="15">
        <f t="shared" si="128"/>
        <v>0</v>
      </c>
      <c r="AO112" s="15">
        <f t="shared" si="118"/>
        <v>0</v>
      </c>
      <c r="AP112" s="15">
        <f t="shared" si="129"/>
        <v>0</v>
      </c>
      <c r="AQ112" s="15">
        <f t="shared" si="130"/>
        <v>0</v>
      </c>
      <c r="AV112" s="15">
        <f>COUNTIF(AR112:AU112,"PR")</f>
        <v>0</v>
      </c>
      <c r="AW112" s="15">
        <f t="shared" si="147"/>
        <v>0</v>
      </c>
      <c r="AX112" s="15">
        <f t="shared" si="138"/>
        <v>0</v>
      </c>
      <c r="AY112" s="15">
        <f>AI112+AQ112+AX112</f>
        <v>0</v>
      </c>
      <c r="AZ112" s="15">
        <f>SUM(AG112,AO112,AV112)</f>
        <v>0</v>
      </c>
      <c r="BA112" s="78" t="e">
        <f t="shared" si="124"/>
        <v>#DIV/0!</v>
      </c>
      <c r="BD112" s="1"/>
      <c r="BF112" s="15">
        <f t="shared" si="119"/>
        <v>0</v>
      </c>
      <c r="BG112" s="15">
        <f t="shared" si="131"/>
        <v>0</v>
      </c>
      <c r="BH112" s="15">
        <f t="shared" si="132"/>
        <v>0</v>
      </c>
      <c r="BN112" s="15">
        <f t="shared" si="120"/>
        <v>0</v>
      </c>
      <c r="BO112" s="15">
        <f t="shared" si="148"/>
        <v>0</v>
      </c>
      <c r="BP112" s="15">
        <f t="shared" si="133"/>
        <v>0</v>
      </c>
      <c r="BU112" s="15">
        <f t="shared" si="121"/>
        <v>0</v>
      </c>
      <c r="BV112" s="15">
        <f t="shared" si="134"/>
        <v>0</v>
      </c>
      <c r="BW112" s="15">
        <f t="shared" si="135"/>
        <v>0</v>
      </c>
      <c r="BX112" s="15">
        <f t="shared" si="141"/>
        <v>0</v>
      </c>
      <c r="BY112" s="15">
        <f t="shared" si="142"/>
        <v>0</v>
      </c>
      <c r="BZ112" s="78" t="e">
        <f t="shared" si="125"/>
        <v>#DIV/0!</v>
      </c>
      <c r="CA112" s="78"/>
      <c r="CG112" s="15">
        <f>COUNTIF(CB112:CF112,"PR")</f>
        <v>0</v>
      </c>
      <c r="CH112" s="15">
        <f>COUNTIF(CB112:CF112,"AB")</f>
        <v>0</v>
      </c>
      <c r="CI112" s="15">
        <f t="shared" si="136"/>
        <v>0</v>
      </c>
      <c r="CN112" s="15">
        <f>COUNTIF(CJ112:CM112,"PR")</f>
        <v>0</v>
      </c>
      <c r="CO112" s="15">
        <f>COUNTIF(CJ112:CM112,"AB")</f>
        <v>0</v>
      </c>
      <c r="CP112" s="15">
        <f t="shared" si="137"/>
        <v>0</v>
      </c>
      <c r="CU112" s="15">
        <f t="shared" si="122"/>
        <v>0</v>
      </c>
      <c r="CV112" s="15">
        <f t="shared" si="143"/>
        <v>0</v>
      </c>
      <c r="CW112" s="15">
        <f t="shared" si="144"/>
        <v>0</v>
      </c>
      <c r="CX112" s="15">
        <f>CG112+CN112+CU112</f>
        <v>0</v>
      </c>
      <c r="CY112" s="15" t="e">
        <f>SUM(CE112,#REF!,CS112)</f>
        <v>#REF!</v>
      </c>
      <c r="CZ112" s="78" t="e">
        <f t="shared" si="126"/>
        <v>#REF!</v>
      </c>
      <c r="DA112" s="78"/>
    </row>
    <row r="113" spans="1:105">
      <c r="A113" s="91"/>
      <c r="B113" s="14"/>
      <c r="H113" s="15">
        <f t="shared" si="140"/>
        <v>0</v>
      </c>
      <c r="I113" s="18">
        <f t="shared" si="149"/>
        <v>0</v>
      </c>
      <c r="J113" s="15">
        <f t="shared" si="150"/>
        <v>0</v>
      </c>
      <c r="O113" s="15">
        <f t="shared" si="116"/>
        <v>0</v>
      </c>
      <c r="P113" s="18">
        <f t="shared" ref="P113:P177" si="151">COUNTIF(K113:N113,"AB")</f>
        <v>0</v>
      </c>
      <c r="Q113" s="15">
        <f t="shared" ref="Q113:Q177" si="152">O113+P113</f>
        <v>0</v>
      </c>
      <c r="V113" s="15">
        <f t="shared" si="145"/>
        <v>0</v>
      </c>
      <c r="W113" s="15">
        <f t="shared" si="146"/>
        <v>0</v>
      </c>
      <c r="X113" s="15">
        <f t="shared" si="139"/>
        <v>0</v>
      </c>
      <c r="Y113" s="15">
        <f>J113+Q113+X113</f>
        <v>0</v>
      </c>
      <c r="Z113" s="15">
        <f>SUM(H113,O113,V113)</f>
        <v>0</v>
      </c>
      <c r="AA113" s="78" t="e">
        <f t="shared" si="123"/>
        <v>#DIV/0!</v>
      </c>
      <c r="AB113" s="78"/>
      <c r="AG113" s="15">
        <f t="shared" si="117"/>
        <v>0</v>
      </c>
      <c r="AH113" s="15">
        <f t="shared" si="127"/>
        <v>0</v>
      </c>
      <c r="AI113" s="15">
        <f t="shared" si="128"/>
        <v>0</v>
      </c>
      <c r="AO113" s="15">
        <f t="shared" si="118"/>
        <v>0</v>
      </c>
      <c r="AP113" s="15">
        <f t="shared" si="129"/>
        <v>0</v>
      </c>
      <c r="AQ113" s="15">
        <f t="shared" si="130"/>
        <v>0</v>
      </c>
      <c r="AV113" s="15">
        <f>COUNTIF(AR113:AU113,"PR")</f>
        <v>0</v>
      </c>
      <c r="AW113" s="15">
        <f t="shared" si="147"/>
        <v>0</v>
      </c>
      <c r="AX113" s="15">
        <f t="shared" si="138"/>
        <v>0</v>
      </c>
      <c r="AY113" s="15">
        <f>AI113+AQ113+AX113</f>
        <v>0</v>
      </c>
      <c r="AZ113" s="15">
        <f>SUM(AG113,AO113,AV113)</f>
        <v>0</v>
      </c>
      <c r="BA113" s="78" t="e">
        <f t="shared" si="124"/>
        <v>#DIV/0!</v>
      </c>
      <c r="BD113" s="1"/>
      <c r="BF113" s="15">
        <f t="shared" si="119"/>
        <v>0</v>
      </c>
      <c r="BG113" s="15">
        <f t="shared" si="131"/>
        <v>0</v>
      </c>
      <c r="BH113" s="15">
        <f t="shared" si="132"/>
        <v>0</v>
      </c>
      <c r="BN113" s="15">
        <f t="shared" si="120"/>
        <v>0</v>
      </c>
      <c r="BO113" s="15">
        <f t="shared" si="148"/>
        <v>0</v>
      </c>
      <c r="BP113" s="15">
        <f t="shared" si="133"/>
        <v>0</v>
      </c>
      <c r="BU113" s="15">
        <f t="shared" si="121"/>
        <v>0</v>
      </c>
      <c r="BV113" s="15">
        <f t="shared" si="134"/>
        <v>0</v>
      </c>
      <c r="BW113" s="15">
        <f t="shared" si="135"/>
        <v>0</v>
      </c>
      <c r="BX113" s="15">
        <f t="shared" si="141"/>
        <v>0</v>
      </c>
      <c r="BY113" s="15">
        <f t="shared" si="142"/>
        <v>0</v>
      </c>
      <c r="BZ113" s="78" t="e">
        <f t="shared" si="125"/>
        <v>#DIV/0!</v>
      </c>
      <c r="CA113" s="78"/>
      <c r="CG113" s="15">
        <f>COUNTIF(CB113:CF113,"PR")</f>
        <v>0</v>
      </c>
      <c r="CH113" s="15">
        <f>COUNTIF(CB113:CF113,"AB")</f>
        <v>0</v>
      </c>
      <c r="CI113" s="15">
        <f t="shared" si="136"/>
        <v>0</v>
      </c>
      <c r="CN113" s="15">
        <f>COUNTIF(CJ113:CM113,"PR")</f>
        <v>0</v>
      </c>
      <c r="CO113" s="15">
        <f>COUNTIF(CJ113:CM113,"AB")</f>
        <v>0</v>
      </c>
      <c r="CP113" s="15">
        <f t="shared" si="137"/>
        <v>0</v>
      </c>
      <c r="CU113" s="15">
        <f t="shared" si="122"/>
        <v>0</v>
      </c>
      <c r="CV113" s="15">
        <f t="shared" si="143"/>
        <v>0</v>
      </c>
      <c r="CW113" s="15">
        <f t="shared" si="144"/>
        <v>0</v>
      </c>
      <c r="CX113" s="15">
        <f>CG113+CN113+CU113</f>
        <v>0</v>
      </c>
      <c r="CY113" s="15" t="e">
        <f>SUM(CE113,#REF!,CS113)</f>
        <v>#REF!</v>
      </c>
      <c r="CZ113" s="78" t="e">
        <f t="shared" si="126"/>
        <v>#REF!</v>
      </c>
      <c r="DA113" s="78"/>
    </row>
    <row r="114" spans="1:105">
      <c r="A114" s="91"/>
      <c r="B114" s="14"/>
      <c r="H114" s="15">
        <f t="shared" si="140"/>
        <v>0</v>
      </c>
      <c r="I114" s="18">
        <f t="shared" si="149"/>
        <v>0</v>
      </c>
      <c r="J114" s="15">
        <f t="shared" si="150"/>
        <v>0</v>
      </c>
      <c r="O114" s="15">
        <f t="shared" si="116"/>
        <v>0</v>
      </c>
      <c r="P114" s="18">
        <f t="shared" si="151"/>
        <v>0</v>
      </c>
      <c r="Q114" s="15">
        <f t="shared" si="152"/>
        <v>0</v>
      </c>
      <c r="V114" s="15">
        <f t="shared" si="145"/>
        <v>0</v>
      </c>
      <c r="W114" s="15">
        <f t="shared" si="146"/>
        <v>0</v>
      </c>
      <c r="X114" s="15">
        <f t="shared" si="139"/>
        <v>0</v>
      </c>
      <c r="Y114" s="15">
        <f>J114+Q114+X114</f>
        <v>0</v>
      </c>
      <c r="Z114" s="15">
        <f>SUM(H114,O114,V114)</f>
        <v>0</v>
      </c>
      <c r="AA114" s="78" t="e">
        <f t="shared" si="123"/>
        <v>#DIV/0!</v>
      </c>
      <c r="AB114" s="78"/>
      <c r="AG114" s="15">
        <f t="shared" si="117"/>
        <v>0</v>
      </c>
      <c r="AH114" s="15">
        <f t="shared" si="127"/>
        <v>0</v>
      </c>
      <c r="AI114" s="15">
        <f t="shared" si="128"/>
        <v>0</v>
      </c>
      <c r="AO114" s="15">
        <f t="shared" si="118"/>
        <v>0</v>
      </c>
      <c r="AP114" s="15">
        <f t="shared" si="129"/>
        <v>0</v>
      </c>
      <c r="AQ114" s="15">
        <f t="shared" si="130"/>
        <v>0</v>
      </c>
      <c r="AV114" s="15">
        <f>COUNTIF(AR114:AU114,"PR")</f>
        <v>0</v>
      </c>
      <c r="AW114" s="15">
        <f t="shared" si="147"/>
        <v>0</v>
      </c>
      <c r="AX114" s="15">
        <f t="shared" si="138"/>
        <v>0</v>
      </c>
      <c r="AY114" s="15">
        <f>AI114+AQ114+AX114</f>
        <v>0</v>
      </c>
      <c r="AZ114" s="15">
        <f>SUM(AG114,AO114,AV114)</f>
        <v>0</v>
      </c>
      <c r="BA114" s="78" t="e">
        <f t="shared" si="124"/>
        <v>#DIV/0!</v>
      </c>
      <c r="BD114" s="1"/>
      <c r="BF114" s="15">
        <f t="shared" si="119"/>
        <v>0</v>
      </c>
      <c r="BG114" s="15">
        <f t="shared" si="131"/>
        <v>0</v>
      </c>
      <c r="BH114" s="15">
        <f t="shared" si="132"/>
        <v>0</v>
      </c>
      <c r="BN114" s="15">
        <f t="shared" si="120"/>
        <v>0</v>
      </c>
      <c r="BO114" s="15">
        <f t="shared" si="148"/>
        <v>0</v>
      </c>
      <c r="BP114" s="15">
        <f t="shared" si="133"/>
        <v>0</v>
      </c>
      <c r="BU114" s="15">
        <f t="shared" si="121"/>
        <v>0</v>
      </c>
      <c r="BV114" s="15">
        <f t="shared" si="134"/>
        <v>0</v>
      </c>
      <c r="BW114" s="15">
        <f t="shared" si="135"/>
        <v>0</v>
      </c>
      <c r="BX114" s="15">
        <f t="shared" si="141"/>
        <v>0</v>
      </c>
      <c r="BY114" s="15">
        <f t="shared" si="142"/>
        <v>0</v>
      </c>
      <c r="BZ114" s="78" t="e">
        <f t="shared" si="125"/>
        <v>#DIV/0!</v>
      </c>
      <c r="CA114" s="78"/>
      <c r="CG114" s="15">
        <f>COUNTIF(CB114:CF114,"PR")</f>
        <v>0</v>
      </c>
      <c r="CH114" s="15">
        <f>COUNTIF(CB114:CF114,"AB")</f>
        <v>0</v>
      </c>
      <c r="CI114" s="15">
        <f t="shared" si="136"/>
        <v>0</v>
      </c>
      <c r="CN114" s="15">
        <f>COUNTIF(CJ114:CM114,"PR")</f>
        <v>0</v>
      </c>
      <c r="CO114" s="15">
        <f>COUNTIF(CJ114:CM114,"AB")</f>
        <v>0</v>
      </c>
      <c r="CP114" s="15">
        <f t="shared" si="137"/>
        <v>0</v>
      </c>
      <c r="CU114" s="15">
        <f t="shared" si="122"/>
        <v>0</v>
      </c>
      <c r="CV114" s="15">
        <f t="shared" si="143"/>
        <v>0</v>
      </c>
      <c r="CW114" s="15">
        <f t="shared" si="144"/>
        <v>0</v>
      </c>
      <c r="CX114" s="15">
        <f>CG114+CN114+CU114</f>
        <v>0</v>
      </c>
      <c r="CY114" s="15" t="e">
        <f>SUM(CE114,#REF!,CS114)</f>
        <v>#REF!</v>
      </c>
      <c r="CZ114" s="78" t="e">
        <f t="shared" si="126"/>
        <v>#REF!</v>
      </c>
      <c r="DA114" s="78"/>
    </row>
    <row r="115" spans="1:105">
      <c r="A115" s="91"/>
      <c r="B115" s="14"/>
      <c r="H115" s="15">
        <f t="shared" si="140"/>
        <v>0</v>
      </c>
      <c r="I115" s="18">
        <f t="shared" si="149"/>
        <v>0</v>
      </c>
      <c r="J115" s="15">
        <f t="shared" si="150"/>
        <v>0</v>
      </c>
      <c r="O115" s="15">
        <f t="shared" si="116"/>
        <v>0</v>
      </c>
      <c r="P115" s="18">
        <f t="shared" si="151"/>
        <v>0</v>
      </c>
      <c r="Q115" s="15">
        <f t="shared" si="152"/>
        <v>0</v>
      </c>
      <c r="V115" s="15">
        <f t="shared" si="145"/>
        <v>0</v>
      </c>
      <c r="W115" s="15">
        <f t="shared" si="146"/>
        <v>0</v>
      </c>
      <c r="X115" s="15">
        <f t="shared" si="139"/>
        <v>0</v>
      </c>
      <c r="Y115" s="15">
        <f>J115+Q115+X115</f>
        <v>0</v>
      </c>
      <c r="Z115" s="15">
        <f>SUM(H115,O115,V115)</f>
        <v>0</v>
      </c>
      <c r="AA115" s="78" t="e">
        <f t="shared" si="123"/>
        <v>#DIV/0!</v>
      </c>
      <c r="AB115" s="78"/>
      <c r="AG115" s="15">
        <f t="shared" si="117"/>
        <v>0</v>
      </c>
      <c r="AH115" s="15">
        <f t="shared" si="127"/>
        <v>0</v>
      </c>
      <c r="AI115" s="15">
        <f t="shared" si="128"/>
        <v>0</v>
      </c>
      <c r="AO115" s="15">
        <f t="shared" si="118"/>
        <v>0</v>
      </c>
      <c r="AP115" s="15">
        <f t="shared" si="129"/>
        <v>0</v>
      </c>
      <c r="AQ115" s="15">
        <f t="shared" si="130"/>
        <v>0</v>
      </c>
      <c r="AV115" s="15">
        <f>COUNTIF(AR115:AU115,"PR")</f>
        <v>0</v>
      </c>
      <c r="AW115" s="15">
        <f t="shared" si="147"/>
        <v>0</v>
      </c>
      <c r="AX115" s="15">
        <f t="shared" si="138"/>
        <v>0</v>
      </c>
      <c r="AY115" s="15">
        <f>AI115+AQ115+AX115</f>
        <v>0</v>
      </c>
      <c r="AZ115" s="15">
        <f>SUM(AG115,AO115,AV115)</f>
        <v>0</v>
      </c>
      <c r="BA115" s="78" t="e">
        <f t="shared" si="124"/>
        <v>#DIV/0!</v>
      </c>
      <c r="BD115" s="1"/>
      <c r="BF115" s="15">
        <f t="shared" si="119"/>
        <v>0</v>
      </c>
      <c r="BG115" s="15">
        <f t="shared" si="131"/>
        <v>0</v>
      </c>
      <c r="BH115" s="15">
        <f t="shared" si="132"/>
        <v>0</v>
      </c>
      <c r="BN115" s="15">
        <f t="shared" si="120"/>
        <v>0</v>
      </c>
      <c r="BO115" s="15">
        <f t="shared" si="148"/>
        <v>0</v>
      </c>
      <c r="BP115" s="15">
        <f t="shared" si="133"/>
        <v>0</v>
      </c>
      <c r="BU115" s="15">
        <f t="shared" si="121"/>
        <v>0</v>
      </c>
      <c r="BV115" s="15">
        <f t="shared" si="134"/>
        <v>0</v>
      </c>
      <c r="BW115" s="15">
        <f t="shared" si="135"/>
        <v>0</v>
      </c>
      <c r="BX115" s="15">
        <f t="shared" si="141"/>
        <v>0</v>
      </c>
      <c r="BY115" s="15">
        <f t="shared" si="142"/>
        <v>0</v>
      </c>
      <c r="BZ115" s="78" t="e">
        <f t="shared" si="125"/>
        <v>#DIV/0!</v>
      </c>
      <c r="CA115" s="78"/>
      <c r="CG115" s="15">
        <f>COUNTIF(CB115:CF115,"PR")</f>
        <v>0</v>
      </c>
      <c r="CH115" s="15">
        <f>COUNTIF(CB115:CF115,"AB")</f>
        <v>0</v>
      </c>
      <c r="CI115" s="15">
        <f t="shared" si="136"/>
        <v>0</v>
      </c>
      <c r="CN115" s="15">
        <f>COUNTIF(CJ115:CM115,"PR")</f>
        <v>0</v>
      </c>
      <c r="CO115" s="15">
        <f>COUNTIF(CJ115:CM115,"AB")</f>
        <v>0</v>
      </c>
      <c r="CP115" s="15">
        <f t="shared" si="137"/>
        <v>0</v>
      </c>
      <c r="CU115" s="15">
        <f t="shared" si="122"/>
        <v>0</v>
      </c>
      <c r="CV115" s="15">
        <f t="shared" si="143"/>
        <v>0</v>
      </c>
      <c r="CW115" s="15">
        <f t="shared" si="144"/>
        <v>0</v>
      </c>
      <c r="CX115" s="15">
        <f>CG115+CN115+CU115</f>
        <v>0</v>
      </c>
      <c r="CY115" s="15" t="e">
        <f>SUM(CE115,#REF!,CS115)</f>
        <v>#REF!</v>
      </c>
      <c r="CZ115" s="78" t="e">
        <f t="shared" si="126"/>
        <v>#REF!</v>
      </c>
      <c r="DA115" s="78"/>
    </row>
    <row r="116" spans="1:105">
      <c r="A116" s="91"/>
      <c r="B116" s="14"/>
      <c r="H116" s="15">
        <f t="shared" si="140"/>
        <v>0</v>
      </c>
      <c r="I116" s="18">
        <f t="shared" si="149"/>
        <v>0</v>
      </c>
      <c r="J116" s="15">
        <f t="shared" si="150"/>
        <v>0</v>
      </c>
      <c r="O116" s="15">
        <f t="shared" si="116"/>
        <v>0</v>
      </c>
      <c r="P116" s="18">
        <f t="shared" si="151"/>
        <v>0</v>
      </c>
      <c r="Q116" s="15">
        <f t="shared" si="152"/>
        <v>0</v>
      </c>
      <c r="V116" s="15">
        <f t="shared" si="145"/>
        <v>0</v>
      </c>
      <c r="W116" s="15">
        <f t="shared" si="146"/>
        <v>0</v>
      </c>
      <c r="X116" s="15">
        <f t="shared" si="139"/>
        <v>0</v>
      </c>
      <c r="Y116" s="15">
        <f>J116+Q116+X116</f>
        <v>0</v>
      </c>
      <c r="Z116" s="15">
        <f>SUM(H116,O116,V116)</f>
        <v>0</v>
      </c>
      <c r="AA116" s="78" t="e">
        <f t="shared" si="123"/>
        <v>#DIV/0!</v>
      </c>
      <c r="AB116" s="78"/>
      <c r="AG116" s="15">
        <f t="shared" si="117"/>
        <v>0</v>
      </c>
      <c r="AH116" s="15">
        <f t="shared" si="127"/>
        <v>0</v>
      </c>
      <c r="AI116" s="15">
        <f t="shared" si="128"/>
        <v>0</v>
      </c>
      <c r="AO116" s="15">
        <f t="shared" si="118"/>
        <v>0</v>
      </c>
      <c r="AP116" s="15">
        <f t="shared" si="129"/>
        <v>0</v>
      </c>
      <c r="AQ116" s="15">
        <f t="shared" si="130"/>
        <v>0</v>
      </c>
      <c r="AV116" s="15">
        <f>COUNTIF(AR116:AU116,"PR")</f>
        <v>0</v>
      </c>
      <c r="AW116" s="15">
        <f t="shared" si="147"/>
        <v>0</v>
      </c>
      <c r="AX116" s="15">
        <f t="shared" si="138"/>
        <v>0</v>
      </c>
      <c r="AY116" s="15">
        <f>AI116+AQ116+AX116</f>
        <v>0</v>
      </c>
      <c r="AZ116" s="15">
        <f>SUM(AG116,AO116,AV116)</f>
        <v>0</v>
      </c>
      <c r="BA116" s="78" t="e">
        <f t="shared" si="124"/>
        <v>#DIV/0!</v>
      </c>
      <c r="BD116" s="1"/>
      <c r="BF116" s="15">
        <f t="shared" si="119"/>
        <v>0</v>
      </c>
      <c r="BG116" s="15">
        <f t="shared" si="131"/>
        <v>0</v>
      </c>
      <c r="BH116" s="15">
        <f t="shared" si="132"/>
        <v>0</v>
      </c>
      <c r="BN116" s="15">
        <f t="shared" si="120"/>
        <v>0</v>
      </c>
      <c r="BO116" s="15">
        <f t="shared" si="148"/>
        <v>0</v>
      </c>
      <c r="BP116" s="15">
        <f t="shared" si="133"/>
        <v>0</v>
      </c>
      <c r="BU116" s="15">
        <f t="shared" si="121"/>
        <v>0</v>
      </c>
      <c r="BV116" s="15">
        <f t="shared" si="134"/>
        <v>0</v>
      </c>
      <c r="BW116" s="15">
        <f t="shared" si="135"/>
        <v>0</v>
      </c>
      <c r="BX116" s="15">
        <f t="shared" si="141"/>
        <v>0</v>
      </c>
      <c r="BY116" s="15">
        <f t="shared" si="142"/>
        <v>0</v>
      </c>
      <c r="BZ116" s="78" t="e">
        <f t="shared" si="125"/>
        <v>#DIV/0!</v>
      </c>
      <c r="CA116" s="78"/>
      <c r="CG116" s="15">
        <f>COUNTIF(CB116:CF116,"PR")</f>
        <v>0</v>
      </c>
      <c r="CH116" s="15">
        <f>COUNTIF(CB116:CF116,"AB")</f>
        <v>0</v>
      </c>
      <c r="CI116" s="15">
        <f t="shared" si="136"/>
        <v>0</v>
      </c>
      <c r="CN116" s="15">
        <f>COUNTIF(CJ116:CM116,"PR")</f>
        <v>0</v>
      </c>
      <c r="CO116" s="15">
        <f>COUNTIF(CJ116:CM116,"AB")</f>
        <v>0</v>
      </c>
      <c r="CP116" s="15">
        <f t="shared" si="137"/>
        <v>0</v>
      </c>
      <c r="CU116" s="15">
        <f t="shared" si="122"/>
        <v>0</v>
      </c>
      <c r="CV116" s="15">
        <f t="shared" si="143"/>
        <v>0</v>
      </c>
      <c r="CW116" s="15">
        <f t="shared" si="144"/>
        <v>0</v>
      </c>
      <c r="CX116" s="15">
        <f>CG116+CN116+CU116</f>
        <v>0</v>
      </c>
      <c r="CY116" s="15" t="e">
        <f>SUM(CE116,#REF!,CS116)</f>
        <v>#REF!</v>
      </c>
      <c r="CZ116" s="78" t="e">
        <f t="shared" si="126"/>
        <v>#REF!</v>
      </c>
      <c r="DA116" s="78"/>
    </row>
    <row r="117" spans="1:105">
      <c r="A117" s="91"/>
      <c r="B117" s="14"/>
      <c r="H117" s="15">
        <f t="shared" si="140"/>
        <v>0</v>
      </c>
      <c r="I117" s="18">
        <f t="shared" si="149"/>
        <v>0</v>
      </c>
      <c r="J117" s="15">
        <f t="shared" si="150"/>
        <v>0</v>
      </c>
      <c r="O117" s="15">
        <f t="shared" si="116"/>
        <v>0</v>
      </c>
      <c r="P117" s="18">
        <f t="shared" si="151"/>
        <v>0</v>
      </c>
      <c r="Q117" s="15">
        <f t="shared" si="152"/>
        <v>0</v>
      </c>
      <c r="V117" s="15">
        <f t="shared" si="145"/>
        <v>0</v>
      </c>
      <c r="W117" s="15">
        <f t="shared" si="146"/>
        <v>0</v>
      </c>
      <c r="X117" s="15">
        <f t="shared" si="139"/>
        <v>0</v>
      </c>
      <c r="Y117" s="15">
        <f>J117+Q117+X117</f>
        <v>0</v>
      </c>
      <c r="Z117" s="15">
        <f>SUM(H117,O117,V117)</f>
        <v>0</v>
      </c>
      <c r="AA117" s="78" t="e">
        <f t="shared" si="123"/>
        <v>#DIV/0!</v>
      </c>
      <c r="AB117" s="78"/>
      <c r="AG117" s="15">
        <f t="shared" si="117"/>
        <v>0</v>
      </c>
      <c r="AH117" s="15">
        <f t="shared" si="127"/>
        <v>0</v>
      </c>
      <c r="AI117" s="15">
        <f t="shared" si="128"/>
        <v>0</v>
      </c>
      <c r="AO117" s="15">
        <f t="shared" si="118"/>
        <v>0</v>
      </c>
      <c r="AP117" s="15">
        <f t="shared" si="129"/>
        <v>0</v>
      </c>
      <c r="AQ117" s="15">
        <f t="shared" si="130"/>
        <v>0</v>
      </c>
      <c r="AV117" s="15">
        <f>COUNTIF(AR117:AU117,"PR")</f>
        <v>0</v>
      </c>
      <c r="AW117" s="15">
        <f t="shared" si="147"/>
        <v>0</v>
      </c>
      <c r="AX117" s="15">
        <f t="shared" si="138"/>
        <v>0</v>
      </c>
      <c r="AY117" s="15">
        <f>AI117+AQ117+AX117</f>
        <v>0</v>
      </c>
      <c r="AZ117" s="15">
        <f>SUM(AG117,AO117,AV117)</f>
        <v>0</v>
      </c>
      <c r="BA117" s="78" t="e">
        <f t="shared" si="124"/>
        <v>#DIV/0!</v>
      </c>
      <c r="BD117" s="1"/>
      <c r="BF117" s="15">
        <f t="shared" si="119"/>
        <v>0</v>
      </c>
      <c r="BG117" s="15">
        <f t="shared" si="131"/>
        <v>0</v>
      </c>
      <c r="BH117" s="15">
        <f t="shared" si="132"/>
        <v>0</v>
      </c>
      <c r="BN117" s="15">
        <f t="shared" si="120"/>
        <v>0</v>
      </c>
      <c r="BO117" s="15">
        <f t="shared" si="148"/>
        <v>0</v>
      </c>
      <c r="BP117" s="15">
        <f t="shared" si="133"/>
        <v>0</v>
      </c>
      <c r="BU117" s="15">
        <f t="shared" si="121"/>
        <v>0</v>
      </c>
      <c r="BV117" s="15">
        <f t="shared" si="134"/>
        <v>0</v>
      </c>
      <c r="BW117" s="15">
        <f t="shared" si="135"/>
        <v>0</v>
      </c>
      <c r="BX117" s="15">
        <f t="shared" si="141"/>
        <v>0</v>
      </c>
      <c r="BY117" s="15">
        <f t="shared" si="142"/>
        <v>0</v>
      </c>
      <c r="BZ117" s="78" t="e">
        <f t="shared" si="125"/>
        <v>#DIV/0!</v>
      </c>
      <c r="CA117" s="78"/>
      <c r="CG117" s="15">
        <f>COUNTIF(CB117:CF117,"PR")</f>
        <v>0</v>
      </c>
      <c r="CH117" s="15">
        <f>COUNTIF(CB117:CF117,"AB")</f>
        <v>0</v>
      </c>
      <c r="CI117" s="15">
        <f t="shared" si="136"/>
        <v>0</v>
      </c>
      <c r="CN117" s="15">
        <f>COUNTIF(CJ117:CM117,"PR")</f>
        <v>0</v>
      </c>
      <c r="CO117" s="15">
        <f>COUNTIF(CJ117:CM117,"AB")</f>
        <v>0</v>
      </c>
      <c r="CP117" s="15">
        <f t="shared" si="137"/>
        <v>0</v>
      </c>
      <c r="CU117" s="15">
        <f t="shared" si="122"/>
        <v>0</v>
      </c>
      <c r="CV117" s="15">
        <f t="shared" si="143"/>
        <v>0</v>
      </c>
      <c r="CW117" s="15">
        <f t="shared" si="144"/>
        <v>0</v>
      </c>
      <c r="CX117" s="15">
        <f>CG117+CN117+CU117</f>
        <v>0</v>
      </c>
      <c r="CY117" s="15" t="e">
        <f>SUM(CE117,#REF!,CS117)</f>
        <v>#REF!</v>
      </c>
      <c r="CZ117" s="78" t="e">
        <f t="shared" si="126"/>
        <v>#REF!</v>
      </c>
      <c r="DA117" s="78"/>
    </row>
    <row r="118" spans="1:105">
      <c r="A118" s="91"/>
      <c r="B118" s="14"/>
      <c r="H118" s="15">
        <f t="shared" si="140"/>
        <v>0</v>
      </c>
      <c r="I118" s="18">
        <f t="shared" si="149"/>
        <v>0</v>
      </c>
      <c r="J118" s="15">
        <f t="shared" si="150"/>
        <v>0</v>
      </c>
      <c r="O118" s="15">
        <f t="shared" si="116"/>
        <v>0</v>
      </c>
      <c r="P118" s="18">
        <f t="shared" si="151"/>
        <v>0</v>
      </c>
      <c r="Q118" s="15">
        <f t="shared" si="152"/>
        <v>0</v>
      </c>
      <c r="V118" s="15">
        <f t="shared" si="145"/>
        <v>0</v>
      </c>
      <c r="W118" s="15">
        <f t="shared" si="146"/>
        <v>0</v>
      </c>
      <c r="X118" s="15">
        <f t="shared" si="139"/>
        <v>0</v>
      </c>
      <c r="Y118" s="15">
        <f>J118+Q118+X118</f>
        <v>0</v>
      </c>
      <c r="Z118" s="15">
        <f>SUM(H118,O118,V118)</f>
        <v>0</v>
      </c>
      <c r="AA118" s="78" t="e">
        <f t="shared" si="123"/>
        <v>#DIV/0!</v>
      </c>
      <c r="AB118" s="78"/>
      <c r="AG118" s="15">
        <f t="shared" si="117"/>
        <v>0</v>
      </c>
      <c r="AH118" s="15">
        <f t="shared" si="127"/>
        <v>0</v>
      </c>
      <c r="AI118" s="15">
        <f t="shared" si="128"/>
        <v>0</v>
      </c>
      <c r="AO118" s="15">
        <f t="shared" si="118"/>
        <v>0</v>
      </c>
      <c r="AP118" s="15">
        <f t="shared" si="129"/>
        <v>0</v>
      </c>
      <c r="AQ118" s="15">
        <f t="shared" si="130"/>
        <v>0</v>
      </c>
      <c r="AV118" s="15">
        <f>COUNTIF(AR118:AU118,"PR")</f>
        <v>0</v>
      </c>
      <c r="AW118" s="15">
        <f t="shared" si="147"/>
        <v>0</v>
      </c>
      <c r="AX118" s="15">
        <f t="shared" si="138"/>
        <v>0</v>
      </c>
      <c r="AY118" s="15">
        <f>AI118+AQ118+AX118</f>
        <v>0</v>
      </c>
      <c r="AZ118" s="15">
        <f>SUM(AG118,AO118,AV118)</f>
        <v>0</v>
      </c>
      <c r="BA118" s="78" t="e">
        <f t="shared" si="124"/>
        <v>#DIV/0!</v>
      </c>
      <c r="BD118" s="1"/>
      <c r="BF118" s="15">
        <f t="shared" si="119"/>
        <v>0</v>
      </c>
      <c r="BG118" s="15">
        <f t="shared" si="131"/>
        <v>0</v>
      </c>
      <c r="BH118" s="15">
        <f t="shared" si="132"/>
        <v>0</v>
      </c>
      <c r="BN118" s="15">
        <f t="shared" si="120"/>
        <v>0</v>
      </c>
      <c r="BO118" s="15">
        <f t="shared" si="148"/>
        <v>0</v>
      </c>
      <c r="BP118" s="15">
        <f t="shared" si="133"/>
        <v>0</v>
      </c>
      <c r="BU118" s="15">
        <f t="shared" si="121"/>
        <v>0</v>
      </c>
      <c r="BV118" s="15">
        <f t="shared" si="134"/>
        <v>0</v>
      </c>
      <c r="BW118" s="15">
        <f t="shared" si="135"/>
        <v>0</v>
      </c>
      <c r="BX118" s="15">
        <f t="shared" si="141"/>
        <v>0</v>
      </c>
      <c r="BY118" s="15">
        <f t="shared" si="142"/>
        <v>0</v>
      </c>
      <c r="BZ118" s="78" t="e">
        <f t="shared" si="125"/>
        <v>#DIV/0!</v>
      </c>
      <c r="CA118" s="78"/>
      <c r="CG118" s="15">
        <f>COUNTIF(CB118:CF118,"PR")</f>
        <v>0</v>
      </c>
      <c r="CH118" s="15">
        <f>COUNTIF(CB118:CF118,"AB")</f>
        <v>0</v>
      </c>
      <c r="CI118" s="15">
        <f t="shared" si="136"/>
        <v>0</v>
      </c>
      <c r="CN118" s="15">
        <f>COUNTIF(CJ118:CM118,"PR")</f>
        <v>0</v>
      </c>
      <c r="CO118" s="15">
        <f>COUNTIF(CJ118:CM118,"AB")</f>
        <v>0</v>
      </c>
      <c r="CP118" s="15">
        <f t="shared" si="137"/>
        <v>0</v>
      </c>
      <c r="CU118" s="15">
        <f t="shared" si="122"/>
        <v>0</v>
      </c>
      <c r="CV118" s="15">
        <f t="shared" si="143"/>
        <v>0</v>
      </c>
      <c r="CW118" s="15">
        <f t="shared" si="144"/>
        <v>0</v>
      </c>
      <c r="CX118" s="15">
        <f>CG118+CN118+CU118</f>
        <v>0</v>
      </c>
      <c r="CY118" s="15" t="e">
        <f>SUM(CE118,#REF!,CS118)</f>
        <v>#REF!</v>
      </c>
      <c r="CZ118" s="78" t="e">
        <f t="shared" si="126"/>
        <v>#REF!</v>
      </c>
      <c r="DA118" s="78"/>
    </row>
    <row r="119" spans="1:105">
      <c r="A119" s="91"/>
      <c r="B119" s="14"/>
      <c r="H119" s="15">
        <f t="shared" si="140"/>
        <v>0</v>
      </c>
      <c r="I119" s="18">
        <f t="shared" si="149"/>
        <v>0</v>
      </c>
      <c r="J119" s="15">
        <f t="shared" si="150"/>
        <v>0</v>
      </c>
      <c r="O119" s="15">
        <f t="shared" si="116"/>
        <v>0</v>
      </c>
      <c r="P119" s="18">
        <f t="shared" si="151"/>
        <v>0</v>
      </c>
      <c r="Q119" s="15">
        <f t="shared" si="152"/>
        <v>0</v>
      </c>
      <c r="V119" s="15">
        <f t="shared" si="145"/>
        <v>0</v>
      </c>
      <c r="W119" s="15">
        <f t="shared" si="146"/>
        <v>0</v>
      </c>
      <c r="X119" s="15">
        <f t="shared" si="139"/>
        <v>0</v>
      </c>
      <c r="Y119" s="15">
        <f>J119+Q119+X119</f>
        <v>0</v>
      </c>
      <c r="Z119" s="15">
        <f>SUM(H119,O119,V119)</f>
        <v>0</v>
      </c>
      <c r="AA119" s="78" t="e">
        <f t="shared" si="123"/>
        <v>#DIV/0!</v>
      </c>
      <c r="AB119" s="78"/>
      <c r="AG119" s="15">
        <f t="shared" si="117"/>
        <v>0</v>
      </c>
      <c r="AH119" s="15">
        <f t="shared" si="127"/>
        <v>0</v>
      </c>
      <c r="AI119" s="15">
        <f t="shared" si="128"/>
        <v>0</v>
      </c>
      <c r="AO119" s="15">
        <f t="shared" si="118"/>
        <v>0</v>
      </c>
      <c r="AP119" s="15">
        <f t="shared" si="129"/>
        <v>0</v>
      </c>
      <c r="AQ119" s="15">
        <f t="shared" si="130"/>
        <v>0</v>
      </c>
      <c r="AV119" s="15">
        <f>COUNTIF(AR119:AU119,"PR")</f>
        <v>0</v>
      </c>
      <c r="AW119" s="15">
        <f t="shared" si="147"/>
        <v>0</v>
      </c>
      <c r="AX119" s="15">
        <f t="shared" si="138"/>
        <v>0</v>
      </c>
      <c r="AY119" s="15">
        <f>AI119+AQ119+AX119</f>
        <v>0</v>
      </c>
      <c r="AZ119" s="15">
        <f>SUM(AG119,AO119,AV119)</f>
        <v>0</v>
      </c>
      <c r="BA119" s="78" t="e">
        <f t="shared" si="124"/>
        <v>#DIV/0!</v>
      </c>
      <c r="BD119" s="1"/>
      <c r="BF119" s="15">
        <f t="shared" si="119"/>
        <v>0</v>
      </c>
      <c r="BG119" s="15">
        <f t="shared" si="131"/>
        <v>0</v>
      </c>
      <c r="BH119" s="15">
        <f t="shared" si="132"/>
        <v>0</v>
      </c>
      <c r="BN119" s="15">
        <f t="shared" si="120"/>
        <v>0</v>
      </c>
      <c r="BO119" s="15">
        <f t="shared" si="148"/>
        <v>0</v>
      </c>
      <c r="BP119" s="15">
        <f t="shared" si="133"/>
        <v>0</v>
      </c>
      <c r="BU119" s="15">
        <f t="shared" si="121"/>
        <v>0</v>
      </c>
      <c r="BV119" s="15">
        <f t="shared" si="134"/>
        <v>0</v>
      </c>
      <c r="BW119" s="15">
        <f t="shared" si="135"/>
        <v>0</v>
      </c>
      <c r="BX119" s="15">
        <f t="shared" si="141"/>
        <v>0</v>
      </c>
      <c r="BY119" s="15">
        <f t="shared" si="142"/>
        <v>0</v>
      </c>
      <c r="BZ119" s="78" t="e">
        <f t="shared" si="125"/>
        <v>#DIV/0!</v>
      </c>
      <c r="CA119" s="78"/>
      <c r="CG119" s="15">
        <f>COUNTIF(CB119:CF119,"PR")</f>
        <v>0</v>
      </c>
      <c r="CH119" s="15">
        <f>COUNTIF(CB119:CF119,"AB")</f>
        <v>0</v>
      </c>
      <c r="CI119" s="15">
        <f t="shared" si="136"/>
        <v>0</v>
      </c>
      <c r="CN119" s="15">
        <f>COUNTIF(CJ119:CM119,"PR")</f>
        <v>0</v>
      </c>
      <c r="CO119" s="15">
        <f>COUNTIF(CJ119:CM119,"AB")</f>
        <v>0</v>
      </c>
      <c r="CP119" s="15">
        <f t="shared" si="137"/>
        <v>0</v>
      </c>
      <c r="CU119" s="15">
        <f t="shared" si="122"/>
        <v>0</v>
      </c>
      <c r="CV119" s="15">
        <f t="shared" si="143"/>
        <v>0</v>
      </c>
      <c r="CW119" s="15">
        <f t="shared" si="144"/>
        <v>0</v>
      </c>
      <c r="CX119" s="15">
        <f>CG119+CN119+CU119</f>
        <v>0</v>
      </c>
      <c r="CY119" s="15" t="e">
        <f>SUM(CE119,#REF!,CS119)</f>
        <v>#REF!</v>
      </c>
      <c r="CZ119" s="78" t="e">
        <f t="shared" si="126"/>
        <v>#REF!</v>
      </c>
      <c r="DA119" s="78"/>
    </row>
    <row r="120" spans="1:105">
      <c r="A120" s="91"/>
      <c r="B120" s="14"/>
      <c r="H120" s="15">
        <f t="shared" si="140"/>
        <v>0</v>
      </c>
      <c r="I120" s="18">
        <f t="shared" si="149"/>
        <v>0</v>
      </c>
      <c r="J120" s="15">
        <f t="shared" si="150"/>
        <v>0</v>
      </c>
      <c r="O120" s="15">
        <f t="shared" si="116"/>
        <v>0</v>
      </c>
      <c r="P120" s="18">
        <f t="shared" si="151"/>
        <v>0</v>
      </c>
      <c r="Q120" s="15">
        <f t="shared" si="152"/>
        <v>0</v>
      </c>
      <c r="V120" s="15">
        <f t="shared" si="145"/>
        <v>0</v>
      </c>
      <c r="W120" s="15">
        <f t="shared" si="146"/>
        <v>0</v>
      </c>
      <c r="X120" s="15">
        <f t="shared" si="139"/>
        <v>0</v>
      </c>
      <c r="Y120" s="15">
        <f>J120+Q120+X120</f>
        <v>0</v>
      </c>
      <c r="Z120" s="15">
        <f>SUM(H120,O120,V120)</f>
        <v>0</v>
      </c>
      <c r="AA120" s="78" t="e">
        <f t="shared" si="123"/>
        <v>#DIV/0!</v>
      </c>
      <c r="AB120" s="78"/>
      <c r="AG120" s="15">
        <f t="shared" si="117"/>
        <v>0</v>
      </c>
      <c r="AH120" s="15">
        <f t="shared" si="127"/>
        <v>0</v>
      </c>
      <c r="AI120" s="15">
        <f t="shared" si="128"/>
        <v>0</v>
      </c>
      <c r="AO120" s="15">
        <f t="shared" si="118"/>
        <v>0</v>
      </c>
      <c r="AP120" s="15">
        <f t="shared" si="129"/>
        <v>0</v>
      </c>
      <c r="AQ120" s="15">
        <f t="shared" si="130"/>
        <v>0</v>
      </c>
      <c r="AV120" s="15">
        <f>COUNTIF(AR120:AU120,"PR")</f>
        <v>0</v>
      </c>
      <c r="AW120" s="15">
        <f t="shared" si="147"/>
        <v>0</v>
      </c>
      <c r="AX120" s="15">
        <f t="shared" si="138"/>
        <v>0</v>
      </c>
      <c r="AY120" s="15">
        <f>AI120+AQ120+AX120</f>
        <v>0</v>
      </c>
      <c r="AZ120" s="15">
        <f>SUM(AG120,AO120,AV120)</f>
        <v>0</v>
      </c>
      <c r="BA120" s="78" t="e">
        <f t="shared" si="124"/>
        <v>#DIV/0!</v>
      </c>
      <c r="BD120" s="1"/>
      <c r="BF120" s="15">
        <f t="shared" si="119"/>
        <v>0</v>
      </c>
      <c r="BG120" s="15">
        <f t="shared" si="131"/>
        <v>0</v>
      </c>
      <c r="BH120" s="15">
        <f t="shared" si="132"/>
        <v>0</v>
      </c>
      <c r="BN120" s="15">
        <f t="shared" si="120"/>
        <v>0</v>
      </c>
      <c r="BO120" s="15">
        <f t="shared" si="148"/>
        <v>0</v>
      </c>
      <c r="BP120" s="15">
        <f t="shared" si="133"/>
        <v>0</v>
      </c>
      <c r="BU120" s="15">
        <f t="shared" si="121"/>
        <v>0</v>
      </c>
      <c r="BV120" s="15">
        <f t="shared" si="134"/>
        <v>0</v>
      </c>
      <c r="BW120" s="15">
        <f t="shared" si="135"/>
        <v>0</v>
      </c>
      <c r="BX120" s="15">
        <f t="shared" si="141"/>
        <v>0</v>
      </c>
      <c r="BY120" s="15">
        <f t="shared" si="142"/>
        <v>0</v>
      </c>
      <c r="BZ120" s="78" t="e">
        <f t="shared" si="125"/>
        <v>#DIV/0!</v>
      </c>
      <c r="CA120" s="78"/>
      <c r="CG120" s="15">
        <f>COUNTIF(CB120:CF120,"PR")</f>
        <v>0</v>
      </c>
      <c r="CH120" s="15">
        <f>COUNTIF(CB120:CF120,"AB")</f>
        <v>0</v>
      </c>
      <c r="CI120" s="15">
        <f t="shared" si="136"/>
        <v>0</v>
      </c>
      <c r="CN120" s="15">
        <f>COUNTIF(CJ120:CM120,"PR")</f>
        <v>0</v>
      </c>
      <c r="CO120" s="15">
        <f>COUNTIF(CJ120:CM120,"AB")</f>
        <v>0</v>
      </c>
      <c r="CP120" s="15">
        <f t="shared" si="137"/>
        <v>0</v>
      </c>
      <c r="CU120" s="15">
        <f t="shared" si="122"/>
        <v>0</v>
      </c>
      <c r="CV120" s="15">
        <f t="shared" si="143"/>
        <v>0</v>
      </c>
      <c r="CW120" s="15">
        <f t="shared" si="144"/>
        <v>0</v>
      </c>
      <c r="CX120" s="15">
        <f>CG120+CN120+CU120</f>
        <v>0</v>
      </c>
      <c r="CY120" s="15" t="e">
        <f>SUM(CE120,#REF!,CS120)</f>
        <v>#REF!</v>
      </c>
      <c r="CZ120" s="78" t="e">
        <f t="shared" si="126"/>
        <v>#REF!</v>
      </c>
      <c r="DA120" s="78"/>
    </row>
    <row r="121" spans="1:105">
      <c r="A121" s="91"/>
      <c r="B121" s="14"/>
      <c r="H121" s="15">
        <f t="shared" si="140"/>
        <v>0</v>
      </c>
      <c r="I121" s="18">
        <f t="shared" si="149"/>
        <v>0</v>
      </c>
      <c r="J121" s="15">
        <f t="shared" si="150"/>
        <v>0</v>
      </c>
      <c r="O121" s="15">
        <f t="shared" si="116"/>
        <v>0</v>
      </c>
      <c r="P121" s="18">
        <f t="shared" si="151"/>
        <v>0</v>
      </c>
      <c r="Q121" s="15">
        <f t="shared" si="152"/>
        <v>0</v>
      </c>
      <c r="V121" s="15">
        <f t="shared" si="145"/>
        <v>0</v>
      </c>
      <c r="W121" s="15">
        <f t="shared" si="146"/>
        <v>0</v>
      </c>
      <c r="X121" s="15">
        <f t="shared" si="139"/>
        <v>0</v>
      </c>
      <c r="Y121" s="15">
        <f>J121+Q121+X121</f>
        <v>0</v>
      </c>
      <c r="Z121" s="15">
        <f>SUM(H121,O121,V121)</f>
        <v>0</v>
      </c>
      <c r="AA121" s="78" t="e">
        <f t="shared" si="123"/>
        <v>#DIV/0!</v>
      </c>
      <c r="AB121" s="78"/>
      <c r="AG121" s="15">
        <f t="shared" si="117"/>
        <v>0</v>
      </c>
      <c r="AH121" s="15">
        <f t="shared" si="127"/>
        <v>0</v>
      </c>
      <c r="AI121" s="15">
        <f t="shared" si="128"/>
        <v>0</v>
      </c>
      <c r="AO121" s="15">
        <f t="shared" si="118"/>
        <v>0</v>
      </c>
      <c r="AP121" s="15">
        <f t="shared" si="129"/>
        <v>0</v>
      </c>
      <c r="AQ121" s="15">
        <f t="shared" si="130"/>
        <v>0</v>
      </c>
      <c r="AV121" s="15">
        <f>COUNTIF(AR121:AU121,"PR")</f>
        <v>0</v>
      </c>
      <c r="AW121" s="15">
        <f t="shared" si="147"/>
        <v>0</v>
      </c>
      <c r="AX121" s="15">
        <f t="shared" si="138"/>
        <v>0</v>
      </c>
      <c r="AY121" s="15">
        <f>AI121+AQ121+AX121</f>
        <v>0</v>
      </c>
      <c r="AZ121" s="15">
        <f>SUM(AG121,AO121,AV121)</f>
        <v>0</v>
      </c>
      <c r="BA121" s="78" t="e">
        <f t="shared" si="124"/>
        <v>#DIV/0!</v>
      </c>
      <c r="BD121" s="1"/>
      <c r="BF121" s="15">
        <f t="shared" si="119"/>
        <v>0</v>
      </c>
      <c r="BG121" s="15">
        <f t="shared" si="131"/>
        <v>0</v>
      </c>
      <c r="BH121" s="15">
        <f t="shared" si="132"/>
        <v>0</v>
      </c>
      <c r="BN121" s="15">
        <f t="shared" si="120"/>
        <v>0</v>
      </c>
      <c r="BO121" s="15">
        <f t="shared" si="148"/>
        <v>0</v>
      </c>
      <c r="BP121" s="15">
        <f t="shared" si="133"/>
        <v>0</v>
      </c>
      <c r="BU121" s="15">
        <f t="shared" si="121"/>
        <v>0</v>
      </c>
      <c r="BV121" s="15">
        <f t="shared" si="134"/>
        <v>0</v>
      </c>
      <c r="BW121" s="15">
        <f t="shared" si="135"/>
        <v>0</v>
      </c>
      <c r="BX121" s="15">
        <f t="shared" si="141"/>
        <v>0</v>
      </c>
      <c r="BY121" s="15">
        <f t="shared" si="142"/>
        <v>0</v>
      </c>
      <c r="BZ121" s="78" t="e">
        <f t="shared" si="125"/>
        <v>#DIV/0!</v>
      </c>
      <c r="CA121" s="78"/>
      <c r="CG121" s="15">
        <f>COUNTIF(CB121:CF121,"PR")</f>
        <v>0</v>
      </c>
      <c r="CH121" s="15">
        <f>COUNTIF(CB121:CF121,"AB")</f>
        <v>0</v>
      </c>
      <c r="CI121" s="15">
        <f t="shared" si="136"/>
        <v>0</v>
      </c>
      <c r="CN121" s="15">
        <f>COUNTIF(CJ121:CM121,"PR")</f>
        <v>0</v>
      </c>
      <c r="CO121" s="15">
        <f>COUNTIF(CJ121:CM121,"AB")</f>
        <v>0</v>
      </c>
      <c r="CP121" s="15">
        <f t="shared" si="137"/>
        <v>0</v>
      </c>
      <c r="CU121" s="15">
        <f t="shared" si="122"/>
        <v>0</v>
      </c>
      <c r="CV121" s="15">
        <f t="shared" si="143"/>
        <v>0</v>
      </c>
      <c r="CW121" s="15">
        <f t="shared" si="144"/>
        <v>0</v>
      </c>
      <c r="CX121" s="15">
        <f>CG121+CN121+CU121</f>
        <v>0</v>
      </c>
      <c r="CY121" s="15" t="e">
        <f>SUM(CE121,#REF!,CS121)</f>
        <v>#REF!</v>
      </c>
      <c r="CZ121" s="78" t="e">
        <f t="shared" si="126"/>
        <v>#REF!</v>
      </c>
      <c r="DA121" s="78"/>
    </row>
    <row r="122" spans="1:105">
      <c r="A122" s="91"/>
      <c r="B122" s="14"/>
      <c r="H122" s="15">
        <f t="shared" si="140"/>
        <v>0</v>
      </c>
      <c r="I122" s="18">
        <f t="shared" si="149"/>
        <v>0</v>
      </c>
      <c r="J122" s="15">
        <f t="shared" si="150"/>
        <v>0</v>
      </c>
      <c r="O122" s="15">
        <f t="shared" si="116"/>
        <v>0</v>
      </c>
      <c r="P122" s="18">
        <f t="shared" si="151"/>
        <v>0</v>
      </c>
      <c r="Q122" s="15">
        <f t="shared" si="152"/>
        <v>0</v>
      </c>
      <c r="V122" s="15">
        <f t="shared" si="145"/>
        <v>0</v>
      </c>
      <c r="W122" s="15">
        <f t="shared" si="146"/>
        <v>0</v>
      </c>
      <c r="X122" s="15">
        <f t="shared" si="139"/>
        <v>0</v>
      </c>
      <c r="Y122" s="15">
        <f>J122+Q122+X122</f>
        <v>0</v>
      </c>
      <c r="Z122" s="15">
        <f>SUM(H122,O122,V122)</f>
        <v>0</v>
      </c>
      <c r="AA122" s="78" t="e">
        <f t="shared" si="123"/>
        <v>#DIV/0!</v>
      </c>
      <c r="AB122" s="78"/>
      <c r="AG122" s="15">
        <f t="shared" si="117"/>
        <v>0</v>
      </c>
      <c r="AH122" s="15">
        <f t="shared" si="127"/>
        <v>0</v>
      </c>
      <c r="AI122" s="15">
        <f t="shared" si="128"/>
        <v>0</v>
      </c>
      <c r="AO122" s="15">
        <f t="shared" si="118"/>
        <v>0</v>
      </c>
      <c r="AP122" s="15">
        <f t="shared" si="129"/>
        <v>0</v>
      </c>
      <c r="AQ122" s="15">
        <f t="shared" si="130"/>
        <v>0</v>
      </c>
      <c r="AV122" s="15">
        <f>COUNTIF(AR122:AU122,"PR")</f>
        <v>0</v>
      </c>
      <c r="AW122" s="15">
        <f t="shared" si="147"/>
        <v>0</v>
      </c>
      <c r="AX122" s="15">
        <f t="shared" si="138"/>
        <v>0</v>
      </c>
      <c r="AY122" s="15">
        <f>AI122+AQ122+AX122</f>
        <v>0</v>
      </c>
      <c r="AZ122" s="15">
        <f>SUM(AG122,AO122,AV122)</f>
        <v>0</v>
      </c>
      <c r="BA122" s="78" t="e">
        <f t="shared" si="124"/>
        <v>#DIV/0!</v>
      </c>
      <c r="BD122" s="1"/>
      <c r="BF122" s="15">
        <f t="shared" si="119"/>
        <v>0</v>
      </c>
      <c r="BG122" s="15">
        <f t="shared" si="131"/>
        <v>0</v>
      </c>
      <c r="BH122" s="15">
        <f t="shared" si="132"/>
        <v>0</v>
      </c>
      <c r="BN122" s="15">
        <f t="shared" si="120"/>
        <v>0</v>
      </c>
      <c r="BO122" s="15">
        <f t="shared" si="148"/>
        <v>0</v>
      </c>
      <c r="BP122" s="15">
        <f t="shared" si="133"/>
        <v>0</v>
      </c>
      <c r="BU122" s="15">
        <f t="shared" si="121"/>
        <v>0</v>
      </c>
      <c r="BV122" s="15">
        <f t="shared" si="134"/>
        <v>0</v>
      </c>
      <c r="BW122" s="15">
        <f t="shared" si="135"/>
        <v>0</v>
      </c>
      <c r="BX122" s="15">
        <f t="shared" si="141"/>
        <v>0</v>
      </c>
      <c r="BY122" s="15">
        <f t="shared" si="142"/>
        <v>0</v>
      </c>
      <c r="BZ122" s="78" t="e">
        <f t="shared" si="125"/>
        <v>#DIV/0!</v>
      </c>
      <c r="CA122" s="78"/>
      <c r="CG122" s="15">
        <f>COUNTIF(CB122:CF122,"PR")</f>
        <v>0</v>
      </c>
      <c r="CH122" s="15">
        <f>COUNTIF(CB122:CF122,"AB")</f>
        <v>0</v>
      </c>
      <c r="CI122" s="15">
        <f t="shared" si="136"/>
        <v>0</v>
      </c>
      <c r="CN122" s="15">
        <f>COUNTIF(CJ122:CM122,"PR")</f>
        <v>0</v>
      </c>
      <c r="CO122" s="15">
        <f>COUNTIF(CJ122:CM122,"AB")</f>
        <v>0</v>
      </c>
      <c r="CP122" s="15">
        <f t="shared" si="137"/>
        <v>0</v>
      </c>
      <c r="CU122" s="15">
        <f t="shared" si="122"/>
        <v>0</v>
      </c>
      <c r="CV122" s="15">
        <f t="shared" si="143"/>
        <v>0</v>
      </c>
      <c r="CW122" s="15">
        <f t="shared" si="144"/>
        <v>0</v>
      </c>
      <c r="CX122" s="15">
        <f>CG122+CN122+CU122</f>
        <v>0</v>
      </c>
      <c r="CY122" s="15" t="e">
        <f>SUM(CE122,#REF!,CS122)</f>
        <v>#REF!</v>
      </c>
      <c r="CZ122" s="78" t="e">
        <f t="shared" si="126"/>
        <v>#REF!</v>
      </c>
      <c r="DA122" s="78"/>
    </row>
    <row r="123" spans="1:105">
      <c r="A123" s="91"/>
      <c r="B123" s="14"/>
      <c r="H123" s="15">
        <f t="shared" si="140"/>
        <v>0</v>
      </c>
      <c r="I123" s="18">
        <f t="shared" si="149"/>
        <v>0</v>
      </c>
      <c r="J123" s="15">
        <f t="shared" si="150"/>
        <v>0</v>
      </c>
      <c r="O123" s="15">
        <f t="shared" si="116"/>
        <v>0</v>
      </c>
      <c r="P123" s="18">
        <f t="shared" si="151"/>
        <v>0</v>
      </c>
      <c r="Q123" s="15">
        <f t="shared" si="152"/>
        <v>0</v>
      </c>
      <c r="V123" s="15">
        <f t="shared" si="145"/>
        <v>0</v>
      </c>
      <c r="W123" s="15">
        <f t="shared" si="146"/>
        <v>0</v>
      </c>
      <c r="X123" s="15">
        <f t="shared" si="139"/>
        <v>0</v>
      </c>
      <c r="Y123" s="15">
        <f>J123+Q123+X123</f>
        <v>0</v>
      </c>
      <c r="Z123" s="15">
        <f>SUM(H123,O123,V123)</f>
        <v>0</v>
      </c>
      <c r="AA123" s="78" t="e">
        <f t="shared" si="123"/>
        <v>#DIV/0!</v>
      </c>
      <c r="AB123" s="78"/>
      <c r="AG123" s="15">
        <f t="shared" si="117"/>
        <v>0</v>
      </c>
      <c r="AH123" s="15">
        <f t="shared" si="127"/>
        <v>0</v>
      </c>
      <c r="AI123" s="15">
        <f t="shared" si="128"/>
        <v>0</v>
      </c>
      <c r="AO123" s="15">
        <f t="shared" si="118"/>
        <v>0</v>
      </c>
      <c r="AP123" s="15">
        <f t="shared" si="129"/>
        <v>0</v>
      </c>
      <c r="AQ123" s="15">
        <f t="shared" si="130"/>
        <v>0</v>
      </c>
      <c r="AV123" s="15">
        <f>COUNTIF(AR123:AU123,"PR")</f>
        <v>0</v>
      </c>
      <c r="AW123" s="15">
        <f t="shared" si="147"/>
        <v>0</v>
      </c>
      <c r="AX123" s="15">
        <f t="shared" si="138"/>
        <v>0</v>
      </c>
      <c r="AY123" s="15">
        <f>AI123+AQ123+AX123</f>
        <v>0</v>
      </c>
      <c r="AZ123" s="15">
        <f>SUM(AG123,AO123,AV123)</f>
        <v>0</v>
      </c>
      <c r="BA123" s="78" t="e">
        <f t="shared" si="124"/>
        <v>#DIV/0!</v>
      </c>
      <c r="BD123" s="1"/>
      <c r="BF123" s="15">
        <f t="shared" si="119"/>
        <v>0</v>
      </c>
      <c r="BG123" s="15">
        <f t="shared" si="131"/>
        <v>0</v>
      </c>
      <c r="BH123" s="15">
        <f t="shared" si="132"/>
        <v>0</v>
      </c>
      <c r="BN123" s="15">
        <f t="shared" si="120"/>
        <v>0</v>
      </c>
      <c r="BO123" s="15">
        <f t="shared" si="148"/>
        <v>0</v>
      </c>
      <c r="BP123" s="15">
        <f t="shared" si="133"/>
        <v>0</v>
      </c>
      <c r="BU123" s="15">
        <f t="shared" si="121"/>
        <v>0</v>
      </c>
      <c r="BV123" s="15">
        <f t="shared" si="134"/>
        <v>0</v>
      </c>
      <c r="BW123" s="15">
        <f t="shared" si="135"/>
        <v>0</v>
      </c>
      <c r="BX123" s="15">
        <f t="shared" si="141"/>
        <v>0</v>
      </c>
      <c r="BY123" s="15">
        <f t="shared" si="142"/>
        <v>0</v>
      </c>
      <c r="BZ123" s="78" t="e">
        <f t="shared" si="125"/>
        <v>#DIV/0!</v>
      </c>
      <c r="CA123" s="78"/>
      <c r="CG123" s="15">
        <f>COUNTIF(CB123:CF123,"PR")</f>
        <v>0</v>
      </c>
      <c r="CH123" s="15">
        <f>COUNTIF(CB123:CF123,"AB")</f>
        <v>0</v>
      </c>
      <c r="CI123" s="15">
        <f t="shared" si="136"/>
        <v>0</v>
      </c>
      <c r="CN123" s="15">
        <f>COUNTIF(CJ123:CM123,"PR")</f>
        <v>0</v>
      </c>
      <c r="CO123" s="15">
        <f>COUNTIF(CJ123:CM123,"AB")</f>
        <v>0</v>
      </c>
      <c r="CP123" s="15">
        <f t="shared" si="137"/>
        <v>0</v>
      </c>
      <c r="CU123" s="15">
        <f t="shared" si="122"/>
        <v>0</v>
      </c>
      <c r="CV123" s="15">
        <f t="shared" si="143"/>
        <v>0</v>
      </c>
      <c r="CW123" s="15">
        <f t="shared" si="144"/>
        <v>0</v>
      </c>
      <c r="CX123" s="15">
        <f>CG123+CN123+CU123</f>
        <v>0</v>
      </c>
      <c r="CY123" s="15" t="e">
        <f>SUM(CE123,#REF!,CS123)</f>
        <v>#REF!</v>
      </c>
      <c r="CZ123" s="78" t="e">
        <f t="shared" si="126"/>
        <v>#REF!</v>
      </c>
      <c r="DA123" s="78"/>
    </row>
    <row r="124" spans="1:105">
      <c r="A124" s="91"/>
      <c r="B124" s="14"/>
      <c r="H124" s="15">
        <f t="shared" si="140"/>
        <v>0</v>
      </c>
      <c r="I124" s="18">
        <f t="shared" si="149"/>
        <v>0</v>
      </c>
      <c r="J124" s="15">
        <f t="shared" si="150"/>
        <v>0</v>
      </c>
      <c r="O124" s="15">
        <f t="shared" si="116"/>
        <v>0</v>
      </c>
      <c r="P124" s="18">
        <f t="shared" si="151"/>
        <v>0</v>
      </c>
      <c r="Q124" s="15">
        <f t="shared" si="152"/>
        <v>0</v>
      </c>
      <c r="V124" s="15">
        <f t="shared" si="145"/>
        <v>0</v>
      </c>
      <c r="W124" s="15">
        <f t="shared" si="146"/>
        <v>0</v>
      </c>
      <c r="X124" s="15">
        <f t="shared" si="139"/>
        <v>0</v>
      </c>
      <c r="Y124" s="15">
        <f>J124+Q124+X124</f>
        <v>0</v>
      </c>
      <c r="Z124" s="15">
        <f>SUM(H124,O124,V124)</f>
        <v>0</v>
      </c>
      <c r="AA124" s="78" t="e">
        <f t="shared" si="123"/>
        <v>#DIV/0!</v>
      </c>
      <c r="AB124" s="78"/>
      <c r="AG124" s="15">
        <f t="shared" si="117"/>
        <v>0</v>
      </c>
      <c r="AH124" s="15">
        <f t="shared" si="127"/>
        <v>0</v>
      </c>
      <c r="AI124" s="15">
        <f t="shared" si="128"/>
        <v>0</v>
      </c>
      <c r="AO124" s="15">
        <f t="shared" si="118"/>
        <v>0</v>
      </c>
      <c r="AP124" s="15">
        <f t="shared" si="129"/>
        <v>0</v>
      </c>
      <c r="AQ124" s="15">
        <f t="shared" si="130"/>
        <v>0</v>
      </c>
      <c r="AV124" s="15">
        <f>COUNTIF(AR124:AU124,"PR")</f>
        <v>0</v>
      </c>
      <c r="AW124" s="15">
        <f t="shared" si="147"/>
        <v>0</v>
      </c>
      <c r="AX124" s="15">
        <f t="shared" si="138"/>
        <v>0</v>
      </c>
      <c r="AY124" s="15">
        <f>AI124+AQ124+AX124</f>
        <v>0</v>
      </c>
      <c r="AZ124" s="15">
        <f>SUM(AG124,AO124,AV124)</f>
        <v>0</v>
      </c>
      <c r="BA124" s="78" t="e">
        <f t="shared" si="124"/>
        <v>#DIV/0!</v>
      </c>
      <c r="BD124" s="1"/>
      <c r="BF124" s="15">
        <f t="shared" si="119"/>
        <v>0</v>
      </c>
      <c r="BG124" s="15">
        <f t="shared" si="131"/>
        <v>0</v>
      </c>
      <c r="BH124" s="15">
        <f t="shared" si="132"/>
        <v>0</v>
      </c>
      <c r="BN124" s="15">
        <f t="shared" si="120"/>
        <v>0</v>
      </c>
      <c r="BO124" s="15">
        <f t="shared" si="148"/>
        <v>0</v>
      </c>
      <c r="BP124" s="15">
        <f t="shared" si="133"/>
        <v>0</v>
      </c>
      <c r="BU124" s="15">
        <f t="shared" si="121"/>
        <v>0</v>
      </c>
      <c r="BV124" s="15">
        <f t="shared" si="134"/>
        <v>0</v>
      </c>
      <c r="BW124" s="15">
        <f t="shared" si="135"/>
        <v>0</v>
      </c>
      <c r="BX124" s="15">
        <f t="shared" si="141"/>
        <v>0</v>
      </c>
      <c r="BY124" s="15">
        <f t="shared" si="142"/>
        <v>0</v>
      </c>
      <c r="BZ124" s="78" t="e">
        <f t="shared" si="125"/>
        <v>#DIV/0!</v>
      </c>
      <c r="CA124" s="78"/>
      <c r="CG124" s="15">
        <f>COUNTIF(CB124:CF124,"PR")</f>
        <v>0</v>
      </c>
      <c r="CH124" s="15">
        <f>COUNTIF(CB124:CF124,"AB")</f>
        <v>0</v>
      </c>
      <c r="CI124" s="15">
        <f t="shared" si="136"/>
        <v>0</v>
      </c>
      <c r="CN124" s="15">
        <f>COUNTIF(CJ124:CM124,"PR")</f>
        <v>0</v>
      </c>
      <c r="CO124" s="15">
        <f>COUNTIF(CJ124:CM124,"AB")</f>
        <v>0</v>
      </c>
      <c r="CP124" s="15">
        <f t="shared" si="137"/>
        <v>0</v>
      </c>
      <c r="CU124" s="15">
        <f t="shared" si="122"/>
        <v>0</v>
      </c>
      <c r="CV124" s="15">
        <f t="shared" si="143"/>
        <v>0</v>
      </c>
      <c r="CW124" s="15">
        <f t="shared" si="144"/>
        <v>0</v>
      </c>
      <c r="CX124" s="15">
        <f>CG124+CN124+CU124</f>
        <v>0</v>
      </c>
      <c r="CY124" s="15" t="e">
        <f>SUM(CE124,#REF!,CS124)</f>
        <v>#REF!</v>
      </c>
      <c r="CZ124" s="78" t="e">
        <f t="shared" si="126"/>
        <v>#REF!</v>
      </c>
      <c r="DA124" s="78"/>
    </row>
    <row r="125" spans="1:105">
      <c r="A125" s="91"/>
      <c r="B125" s="14"/>
      <c r="H125" s="15">
        <f t="shared" si="140"/>
        <v>0</v>
      </c>
      <c r="I125" s="18">
        <f t="shared" si="149"/>
        <v>0</v>
      </c>
      <c r="J125" s="15">
        <f t="shared" si="150"/>
        <v>0</v>
      </c>
      <c r="O125" s="15">
        <f t="shared" si="116"/>
        <v>0</v>
      </c>
      <c r="P125" s="18">
        <f t="shared" si="151"/>
        <v>0</v>
      </c>
      <c r="Q125" s="15">
        <f t="shared" si="152"/>
        <v>0</v>
      </c>
      <c r="V125" s="15">
        <f t="shared" si="145"/>
        <v>0</v>
      </c>
      <c r="W125" s="15">
        <f t="shared" si="146"/>
        <v>0</v>
      </c>
      <c r="X125" s="15">
        <f t="shared" si="139"/>
        <v>0</v>
      </c>
      <c r="Y125" s="15">
        <f>J125+Q125+X125</f>
        <v>0</v>
      </c>
      <c r="Z125" s="15">
        <f>SUM(H125,O125,V125)</f>
        <v>0</v>
      </c>
      <c r="AA125" s="78" t="e">
        <f t="shared" si="123"/>
        <v>#DIV/0!</v>
      </c>
      <c r="AB125" s="78"/>
      <c r="AG125" s="15">
        <f t="shared" si="117"/>
        <v>0</v>
      </c>
      <c r="AH125" s="15">
        <f t="shared" si="127"/>
        <v>0</v>
      </c>
      <c r="AI125" s="15">
        <f t="shared" si="128"/>
        <v>0</v>
      </c>
      <c r="AO125" s="15">
        <f t="shared" si="118"/>
        <v>0</v>
      </c>
      <c r="AP125" s="15">
        <f t="shared" si="129"/>
        <v>0</v>
      </c>
      <c r="AQ125" s="15">
        <f t="shared" si="130"/>
        <v>0</v>
      </c>
      <c r="AV125" s="15">
        <f>COUNTIF(AR125:AU125,"PR")</f>
        <v>0</v>
      </c>
      <c r="AW125" s="15">
        <f t="shared" si="147"/>
        <v>0</v>
      </c>
      <c r="AX125" s="15">
        <f t="shared" si="138"/>
        <v>0</v>
      </c>
      <c r="AY125" s="15">
        <f>AI125+AQ125+AX125</f>
        <v>0</v>
      </c>
      <c r="AZ125" s="15">
        <f>SUM(AG125,AO125,AV125)</f>
        <v>0</v>
      </c>
      <c r="BA125" s="78" t="e">
        <f t="shared" si="124"/>
        <v>#DIV/0!</v>
      </c>
      <c r="BD125" s="1"/>
      <c r="BF125" s="15">
        <f t="shared" si="119"/>
        <v>0</v>
      </c>
      <c r="BG125" s="15">
        <f t="shared" si="131"/>
        <v>0</v>
      </c>
      <c r="BH125" s="15">
        <f t="shared" si="132"/>
        <v>0</v>
      </c>
      <c r="BN125" s="15">
        <f t="shared" si="120"/>
        <v>0</v>
      </c>
      <c r="BO125" s="15">
        <f t="shared" si="148"/>
        <v>0</v>
      </c>
      <c r="BP125" s="15">
        <f t="shared" si="133"/>
        <v>0</v>
      </c>
      <c r="BU125" s="15">
        <f t="shared" si="121"/>
        <v>0</v>
      </c>
      <c r="BV125" s="15">
        <f t="shared" si="134"/>
        <v>0</v>
      </c>
      <c r="BW125" s="15">
        <f t="shared" si="135"/>
        <v>0</v>
      </c>
      <c r="BX125" s="15">
        <f t="shared" si="141"/>
        <v>0</v>
      </c>
      <c r="BY125" s="15">
        <f t="shared" si="142"/>
        <v>0</v>
      </c>
      <c r="BZ125" s="78" t="e">
        <f t="shared" si="125"/>
        <v>#DIV/0!</v>
      </c>
      <c r="CA125" s="78"/>
      <c r="CG125" s="15">
        <f>COUNTIF(CB125:CF125,"PR")</f>
        <v>0</v>
      </c>
      <c r="CH125" s="15">
        <f>COUNTIF(CB125:CF125,"AB")</f>
        <v>0</v>
      </c>
      <c r="CI125" s="15">
        <f t="shared" si="136"/>
        <v>0</v>
      </c>
      <c r="CN125" s="15">
        <f>COUNTIF(CJ125:CM125,"PR")</f>
        <v>0</v>
      </c>
      <c r="CO125" s="15">
        <f>COUNTIF(CJ125:CM125,"AB")</f>
        <v>0</v>
      </c>
      <c r="CP125" s="15">
        <f t="shared" si="137"/>
        <v>0</v>
      </c>
      <c r="CU125" s="15">
        <f t="shared" si="122"/>
        <v>0</v>
      </c>
      <c r="CV125" s="15">
        <f t="shared" si="143"/>
        <v>0</v>
      </c>
      <c r="CW125" s="15">
        <f t="shared" si="144"/>
        <v>0</v>
      </c>
      <c r="CX125" s="15">
        <f>CG125+CN125+CU125</f>
        <v>0</v>
      </c>
      <c r="CY125" s="15" t="e">
        <f>SUM(CE125,#REF!,CS125)</f>
        <v>#REF!</v>
      </c>
      <c r="CZ125" s="78" t="e">
        <f t="shared" si="126"/>
        <v>#REF!</v>
      </c>
      <c r="DA125" s="78"/>
    </row>
    <row r="126" spans="1:105">
      <c r="A126" s="91"/>
      <c r="B126" s="14"/>
      <c r="H126" s="15">
        <f t="shared" si="140"/>
        <v>0</v>
      </c>
      <c r="I126" s="18">
        <f t="shared" si="149"/>
        <v>0</v>
      </c>
      <c r="J126" s="15">
        <f t="shared" si="150"/>
        <v>0</v>
      </c>
      <c r="O126" s="15">
        <f t="shared" si="116"/>
        <v>0</v>
      </c>
      <c r="P126" s="18">
        <f t="shared" si="151"/>
        <v>0</v>
      </c>
      <c r="Q126" s="15">
        <f t="shared" si="152"/>
        <v>0</v>
      </c>
      <c r="V126" s="15">
        <f t="shared" si="145"/>
        <v>0</v>
      </c>
      <c r="W126" s="15">
        <f t="shared" si="146"/>
        <v>0</v>
      </c>
      <c r="X126" s="15">
        <f t="shared" si="139"/>
        <v>0</v>
      </c>
      <c r="Y126" s="15">
        <f>J126+Q126+X126</f>
        <v>0</v>
      </c>
      <c r="Z126" s="15">
        <f>SUM(H126,O126,V126)</f>
        <v>0</v>
      </c>
      <c r="AA126" s="78" t="e">
        <f t="shared" si="123"/>
        <v>#DIV/0!</v>
      </c>
      <c r="AB126" s="78"/>
      <c r="AG126" s="15">
        <f t="shared" si="117"/>
        <v>0</v>
      </c>
      <c r="AH126" s="15">
        <f t="shared" si="127"/>
        <v>0</v>
      </c>
      <c r="AI126" s="15">
        <f t="shared" si="128"/>
        <v>0</v>
      </c>
      <c r="AO126" s="15">
        <f t="shared" si="118"/>
        <v>0</v>
      </c>
      <c r="AP126" s="15">
        <f t="shared" si="129"/>
        <v>0</v>
      </c>
      <c r="AQ126" s="15">
        <f t="shared" si="130"/>
        <v>0</v>
      </c>
      <c r="AV126" s="15">
        <f>COUNTIF(AR126:AU126,"PR")</f>
        <v>0</v>
      </c>
      <c r="AW126" s="15">
        <f t="shared" si="147"/>
        <v>0</v>
      </c>
      <c r="AX126" s="15">
        <f t="shared" si="138"/>
        <v>0</v>
      </c>
      <c r="AY126" s="15">
        <f>AI126+AQ126+AX126</f>
        <v>0</v>
      </c>
      <c r="AZ126" s="15">
        <f>SUM(AG126,AO126,AV126)</f>
        <v>0</v>
      </c>
      <c r="BA126" s="78" t="e">
        <f t="shared" si="124"/>
        <v>#DIV/0!</v>
      </c>
      <c r="BD126" s="1"/>
      <c r="BF126" s="15">
        <f t="shared" si="119"/>
        <v>0</v>
      </c>
      <c r="BG126" s="15">
        <f t="shared" si="131"/>
        <v>0</v>
      </c>
      <c r="BH126" s="15">
        <f t="shared" si="132"/>
        <v>0</v>
      </c>
      <c r="BN126" s="15">
        <f t="shared" si="120"/>
        <v>0</v>
      </c>
      <c r="BO126" s="15">
        <f t="shared" si="148"/>
        <v>0</v>
      </c>
      <c r="BP126" s="15">
        <f t="shared" si="133"/>
        <v>0</v>
      </c>
      <c r="BU126" s="15">
        <f t="shared" si="121"/>
        <v>0</v>
      </c>
      <c r="BV126" s="15">
        <f t="shared" si="134"/>
        <v>0</v>
      </c>
      <c r="BW126" s="15">
        <f t="shared" si="135"/>
        <v>0</v>
      </c>
      <c r="BX126" s="15">
        <f t="shared" si="141"/>
        <v>0</v>
      </c>
      <c r="BY126" s="15">
        <f t="shared" si="142"/>
        <v>0</v>
      </c>
      <c r="BZ126" s="78" t="e">
        <f t="shared" si="125"/>
        <v>#DIV/0!</v>
      </c>
      <c r="CA126" s="78"/>
      <c r="CG126" s="15">
        <f>COUNTIF(CB126:CF126,"PR")</f>
        <v>0</v>
      </c>
      <c r="CH126" s="15">
        <f>COUNTIF(CB126:CF126,"AB")</f>
        <v>0</v>
      </c>
      <c r="CI126" s="15">
        <f t="shared" si="136"/>
        <v>0</v>
      </c>
      <c r="CN126" s="15">
        <f>COUNTIF(CJ126:CM126,"PR")</f>
        <v>0</v>
      </c>
      <c r="CO126" s="15">
        <f>COUNTIF(CJ126:CM126,"AB")</f>
        <v>0</v>
      </c>
      <c r="CP126" s="15">
        <f t="shared" si="137"/>
        <v>0</v>
      </c>
      <c r="CU126" s="15">
        <f t="shared" si="122"/>
        <v>0</v>
      </c>
      <c r="CV126" s="15">
        <f t="shared" si="143"/>
        <v>0</v>
      </c>
      <c r="CW126" s="15">
        <f t="shared" si="144"/>
        <v>0</v>
      </c>
      <c r="CX126" s="15">
        <f>CG126+CN126+CU126</f>
        <v>0</v>
      </c>
      <c r="CY126" s="15" t="e">
        <f>SUM(CE126,#REF!,CS126)</f>
        <v>#REF!</v>
      </c>
      <c r="CZ126" s="78" t="e">
        <f t="shared" si="126"/>
        <v>#REF!</v>
      </c>
      <c r="DA126" s="78"/>
    </row>
    <row r="127" spans="1:105">
      <c r="A127" s="91"/>
      <c r="B127" s="14"/>
      <c r="H127" s="15">
        <f t="shared" si="140"/>
        <v>0</v>
      </c>
      <c r="I127" s="18">
        <f t="shared" si="149"/>
        <v>0</v>
      </c>
      <c r="J127" s="15">
        <f t="shared" si="150"/>
        <v>0</v>
      </c>
      <c r="O127" s="15">
        <f t="shared" si="116"/>
        <v>0</v>
      </c>
      <c r="P127" s="18">
        <f t="shared" si="151"/>
        <v>0</v>
      </c>
      <c r="Q127" s="15">
        <f t="shared" si="152"/>
        <v>0</v>
      </c>
      <c r="V127" s="15">
        <f t="shared" si="145"/>
        <v>0</v>
      </c>
      <c r="W127" s="15">
        <f t="shared" si="146"/>
        <v>0</v>
      </c>
      <c r="X127" s="15">
        <f t="shared" si="139"/>
        <v>0</v>
      </c>
      <c r="Y127" s="15">
        <f>J127+Q127+X127</f>
        <v>0</v>
      </c>
      <c r="Z127" s="15">
        <f>SUM(H127,O127,V127)</f>
        <v>0</v>
      </c>
      <c r="AA127" s="78" t="e">
        <f t="shared" si="123"/>
        <v>#DIV/0!</v>
      </c>
      <c r="AB127" s="78"/>
      <c r="AG127" s="15">
        <f t="shared" si="117"/>
        <v>0</v>
      </c>
      <c r="AH127" s="15">
        <f t="shared" si="127"/>
        <v>0</v>
      </c>
      <c r="AI127" s="15">
        <f t="shared" si="128"/>
        <v>0</v>
      </c>
      <c r="AO127" s="15">
        <f t="shared" si="118"/>
        <v>0</v>
      </c>
      <c r="AP127" s="15">
        <f t="shared" si="129"/>
        <v>0</v>
      </c>
      <c r="AQ127" s="15">
        <f t="shared" si="130"/>
        <v>0</v>
      </c>
      <c r="AV127" s="15">
        <f>COUNTIF(AR127:AU127,"PR")</f>
        <v>0</v>
      </c>
      <c r="AW127" s="15">
        <f t="shared" si="147"/>
        <v>0</v>
      </c>
      <c r="AX127" s="15">
        <f t="shared" si="138"/>
        <v>0</v>
      </c>
      <c r="AY127" s="15">
        <f>AI127+AQ127+AX127</f>
        <v>0</v>
      </c>
      <c r="AZ127" s="15">
        <f>SUM(AG127,AO127,AV127)</f>
        <v>0</v>
      </c>
      <c r="BA127" s="78" t="e">
        <f t="shared" si="124"/>
        <v>#DIV/0!</v>
      </c>
      <c r="BD127" s="1"/>
      <c r="BF127" s="15">
        <f t="shared" si="119"/>
        <v>0</v>
      </c>
      <c r="BG127" s="15">
        <f t="shared" si="131"/>
        <v>0</v>
      </c>
      <c r="BH127" s="15">
        <f t="shared" si="132"/>
        <v>0</v>
      </c>
      <c r="BN127" s="15">
        <f t="shared" si="120"/>
        <v>0</v>
      </c>
      <c r="BO127" s="15">
        <f t="shared" si="148"/>
        <v>0</v>
      </c>
      <c r="BP127" s="15">
        <f t="shared" si="133"/>
        <v>0</v>
      </c>
      <c r="BU127" s="15">
        <f t="shared" si="121"/>
        <v>0</v>
      </c>
      <c r="BV127" s="15">
        <f t="shared" si="134"/>
        <v>0</v>
      </c>
      <c r="BW127" s="15">
        <f t="shared" si="135"/>
        <v>0</v>
      </c>
      <c r="BX127" s="15">
        <f t="shared" si="141"/>
        <v>0</v>
      </c>
      <c r="BY127" s="15">
        <f t="shared" si="142"/>
        <v>0</v>
      </c>
      <c r="BZ127" s="78" t="e">
        <f t="shared" si="125"/>
        <v>#DIV/0!</v>
      </c>
      <c r="CA127" s="78"/>
      <c r="CG127" s="15">
        <f>COUNTIF(CB127:CF127,"PR")</f>
        <v>0</v>
      </c>
      <c r="CH127" s="15">
        <f>COUNTIF(CB127:CF127,"AB")</f>
        <v>0</v>
      </c>
      <c r="CI127" s="15">
        <f t="shared" si="136"/>
        <v>0</v>
      </c>
      <c r="CN127" s="15">
        <f>COUNTIF(CJ127:CM127,"PR")</f>
        <v>0</v>
      </c>
      <c r="CO127" s="15">
        <f>COUNTIF(CJ127:CM127,"AB")</f>
        <v>0</v>
      </c>
      <c r="CP127" s="15">
        <f t="shared" si="137"/>
        <v>0</v>
      </c>
      <c r="CU127" s="15">
        <f t="shared" si="122"/>
        <v>0</v>
      </c>
      <c r="CV127" s="15">
        <f t="shared" si="143"/>
        <v>0</v>
      </c>
      <c r="CW127" s="15">
        <f t="shared" si="144"/>
        <v>0</v>
      </c>
      <c r="CX127" s="15">
        <f>CG127+CN127+CU127</f>
        <v>0</v>
      </c>
      <c r="CY127" s="15" t="e">
        <f>SUM(CE127,#REF!,CS127)</f>
        <v>#REF!</v>
      </c>
      <c r="CZ127" s="78" t="e">
        <f t="shared" si="126"/>
        <v>#REF!</v>
      </c>
      <c r="DA127" s="78"/>
    </row>
    <row r="128" spans="1:105">
      <c r="A128" s="91"/>
      <c r="B128" s="14"/>
      <c r="H128" s="15">
        <f t="shared" si="140"/>
        <v>0</v>
      </c>
      <c r="I128" s="18">
        <f t="shared" si="149"/>
        <v>0</v>
      </c>
      <c r="J128" s="15">
        <f t="shared" si="150"/>
        <v>0</v>
      </c>
      <c r="O128" s="15">
        <f t="shared" si="116"/>
        <v>0</v>
      </c>
      <c r="P128" s="18">
        <f t="shared" si="151"/>
        <v>0</v>
      </c>
      <c r="Q128" s="15">
        <f t="shared" si="152"/>
        <v>0</v>
      </c>
      <c r="V128" s="15">
        <f t="shared" si="145"/>
        <v>0</v>
      </c>
      <c r="W128" s="15">
        <f t="shared" si="146"/>
        <v>0</v>
      </c>
      <c r="X128" s="15">
        <f t="shared" si="139"/>
        <v>0</v>
      </c>
      <c r="Y128" s="15">
        <f>J128+Q128+X128</f>
        <v>0</v>
      </c>
      <c r="Z128" s="15">
        <f>SUM(H128,O128,V128)</f>
        <v>0</v>
      </c>
      <c r="AA128" s="78" t="e">
        <f t="shared" si="123"/>
        <v>#DIV/0!</v>
      </c>
      <c r="AB128" s="78"/>
      <c r="AG128" s="15">
        <f t="shared" si="117"/>
        <v>0</v>
      </c>
      <c r="AH128" s="15">
        <f t="shared" si="127"/>
        <v>0</v>
      </c>
      <c r="AI128" s="15">
        <f t="shared" si="128"/>
        <v>0</v>
      </c>
      <c r="AO128" s="15">
        <f t="shared" si="118"/>
        <v>0</v>
      </c>
      <c r="AP128" s="15">
        <f t="shared" si="129"/>
        <v>0</v>
      </c>
      <c r="AQ128" s="15">
        <f t="shared" si="130"/>
        <v>0</v>
      </c>
      <c r="AV128" s="15">
        <f>COUNTIF(AR128:AU128,"PR")</f>
        <v>0</v>
      </c>
      <c r="AW128" s="15">
        <f t="shared" si="147"/>
        <v>0</v>
      </c>
      <c r="AX128" s="15">
        <f t="shared" si="138"/>
        <v>0</v>
      </c>
      <c r="AY128" s="15">
        <f>AI128+AQ128+AX128</f>
        <v>0</v>
      </c>
      <c r="AZ128" s="15">
        <f>SUM(AG128,AO128,AV128)</f>
        <v>0</v>
      </c>
      <c r="BA128" s="78" t="e">
        <f t="shared" si="124"/>
        <v>#DIV/0!</v>
      </c>
      <c r="BD128" s="1"/>
      <c r="BF128" s="15">
        <f t="shared" si="119"/>
        <v>0</v>
      </c>
      <c r="BG128" s="15">
        <f t="shared" si="131"/>
        <v>0</v>
      </c>
      <c r="BH128" s="15">
        <f t="shared" si="132"/>
        <v>0</v>
      </c>
      <c r="BN128" s="15">
        <f t="shared" si="120"/>
        <v>0</v>
      </c>
      <c r="BO128" s="15">
        <f t="shared" si="148"/>
        <v>0</v>
      </c>
      <c r="BP128" s="15">
        <f t="shared" si="133"/>
        <v>0</v>
      </c>
      <c r="BU128" s="15">
        <f t="shared" si="121"/>
        <v>0</v>
      </c>
      <c r="BV128" s="15">
        <f t="shared" si="134"/>
        <v>0</v>
      </c>
      <c r="BW128" s="15">
        <f t="shared" si="135"/>
        <v>0</v>
      </c>
      <c r="BX128" s="15">
        <f t="shared" si="141"/>
        <v>0</v>
      </c>
      <c r="BY128" s="15">
        <f t="shared" si="142"/>
        <v>0</v>
      </c>
      <c r="BZ128" s="78" t="e">
        <f t="shared" si="125"/>
        <v>#DIV/0!</v>
      </c>
      <c r="CA128" s="78"/>
      <c r="CG128" s="15">
        <f>COUNTIF(CB128:CF128,"PR")</f>
        <v>0</v>
      </c>
      <c r="CH128" s="15">
        <f>COUNTIF(CB128:CF128,"AB")</f>
        <v>0</v>
      </c>
      <c r="CI128" s="15">
        <f t="shared" si="136"/>
        <v>0</v>
      </c>
      <c r="CN128" s="15">
        <f>COUNTIF(CJ128:CM128,"PR")</f>
        <v>0</v>
      </c>
      <c r="CO128" s="15">
        <f>COUNTIF(CJ128:CM128,"AB")</f>
        <v>0</v>
      </c>
      <c r="CP128" s="15">
        <f t="shared" si="137"/>
        <v>0</v>
      </c>
      <c r="CU128" s="15">
        <f t="shared" si="122"/>
        <v>0</v>
      </c>
      <c r="CV128" s="15">
        <f t="shared" si="143"/>
        <v>0</v>
      </c>
      <c r="CW128" s="15">
        <f t="shared" si="144"/>
        <v>0</v>
      </c>
      <c r="CX128" s="15">
        <f>CG128+CN128+CU128</f>
        <v>0</v>
      </c>
      <c r="CY128" s="15" t="e">
        <f>SUM(CE128,#REF!,CS128)</f>
        <v>#REF!</v>
      </c>
      <c r="CZ128" s="78" t="e">
        <f t="shared" si="126"/>
        <v>#REF!</v>
      </c>
      <c r="DA128" s="78"/>
    </row>
    <row r="129" spans="1:105">
      <c r="A129" s="91"/>
      <c r="B129" s="14"/>
      <c r="H129" s="15">
        <f t="shared" si="140"/>
        <v>0</v>
      </c>
      <c r="I129" s="18">
        <f t="shared" si="149"/>
        <v>0</v>
      </c>
      <c r="J129" s="15">
        <f t="shared" si="150"/>
        <v>0</v>
      </c>
      <c r="O129" s="15">
        <f t="shared" si="116"/>
        <v>0</v>
      </c>
      <c r="P129" s="18">
        <f t="shared" si="151"/>
        <v>0</v>
      </c>
      <c r="Q129" s="15">
        <f t="shared" si="152"/>
        <v>0</v>
      </c>
      <c r="V129" s="15">
        <f t="shared" si="145"/>
        <v>0</v>
      </c>
      <c r="W129" s="15">
        <f t="shared" si="146"/>
        <v>0</v>
      </c>
      <c r="X129" s="15">
        <f t="shared" si="139"/>
        <v>0</v>
      </c>
      <c r="Y129" s="15">
        <f>J129+Q129+X129</f>
        <v>0</v>
      </c>
      <c r="Z129" s="15">
        <f>SUM(H129,O129,V129)</f>
        <v>0</v>
      </c>
      <c r="AA129" s="78" t="e">
        <f t="shared" si="123"/>
        <v>#DIV/0!</v>
      </c>
      <c r="AB129" s="78"/>
      <c r="AG129" s="15">
        <f t="shared" si="117"/>
        <v>0</v>
      </c>
      <c r="AH129" s="15">
        <f t="shared" si="127"/>
        <v>0</v>
      </c>
      <c r="AI129" s="15">
        <f t="shared" si="128"/>
        <v>0</v>
      </c>
      <c r="AO129" s="15">
        <f t="shared" si="118"/>
        <v>0</v>
      </c>
      <c r="AP129" s="15">
        <f t="shared" si="129"/>
        <v>0</v>
      </c>
      <c r="AQ129" s="15">
        <f t="shared" si="130"/>
        <v>0</v>
      </c>
      <c r="AV129" s="15">
        <f>COUNTIF(AR129:AU129,"PR")</f>
        <v>0</v>
      </c>
      <c r="AW129" s="15">
        <f t="shared" si="147"/>
        <v>0</v>
      </c>
      <c r="AX129" s="15">
        <f t="shared" si="138"/>
        <v>0</v>
      </c>
      <c r="AY129" s="15">
        <f>AI129+AQ129+AX129</f>
        <v>0</v>
      </c>
      <c r="AZ129" s="15">
        <f>SUM(AG129,AO129,AV129)</f>
        <v>0</v>
      </c>
      <c r="BA129" s="78" t="e">
        <f t="shared" si="124"/>
        <v>#DIV/0!</v>
      </c>
      <c r="BD129" s="1"/>
      <c r="BF129" s="15">
        <f t="shared" si="119"/>
        <v>0</v>
      </c>
      <c r="BG129" s="15">
        <f t="shared" si="131"/>
        <v>0</v>
      </c>
      <c r="BH129" s="15">
        <f t="shared" si="132"/>
        <v>0</v>
      </c>
      <c r="BN129" s="15">
        <f t="shared" si="120"/>
        <v>0</v>
      </c>
      <c r="BO129" s="15">
        <f t="shared" si="148"/>
        <v>0</v>
      </c>
      <c r="BP129" s="15">
        <f t="shared" si="133"/>
        <v>0</v>
      </c>
      <c r="BU129" s="15">
        <f t="shared" si="121"/>
        <v>0</v>
      </c>
      <c r="BV129" s="15">
        <f t="shared" si="134"/>
        <v>0</v>
      </c>
      <c r="BW129" s="15">
        <f t="shared" si="135"/>
        <v>0</v>
      </c>
      <c r="BX129" s="15">
        <f t="shared" si="141"/>
        <v>0</v>
      </c>
      <c r="BY129" s="15">
        <f t="shared" si="142"/>
        <v>0</v>
      </c>
      <c r="BZ129" s="78" t="e">
        <f t="shared" si="125"/>
        <v>#DIV/0!</v>
      </c>
      <c r="CA129" s="78"/>
      <c r="CG129" s="15">
        <f>COUNTIF(CB129:CF129,"PR")</f>
        <v>0</v>
      </c>
      <c r="CH129" s="15">
        <f>COUNTIF(CB129:CF129,"AB")</f>
        <v>0</v>
      </c>
      <c r="CI129" s="15">
        <f t="shared" si="136"/>
        <v>0</v>
      </c>
      <c r="CN129" s="15">
        <f>COUNTIF(CJ129:CM129,"PR")</f>
        <v>0</v>
      </c>
      <c r="CO129" s="15">
        <f>COUNTIF(CJ129:CM129,"AB")</f>
        <v>0</v>
      </c>
      <c r="CP129" s="15">
        <f t="shared" si="137"/>
        <v>0</v>
      </c>
      <c r="CU129" s="15">
        <f t="shared" si="122"/>
        <v>0</v>
      </c>
      <c r="CV129" s="15">
        <f t="shared" si="143"/>
        <v>0</v>
      </c>
      <c r="CW129" s="15">
        <f t="shared" si="144"/>
        <v>0</v>
      </c>
      <c r="CX129" s="15">
        <f>CG129+CN129+CU129</f>
        <v>0</v>
      </c>
      <c r="CY129" s="15" t="e">
        <f>SUM(CE129,#REF!,CS129)</f>
        <v>#REF!</v>
      </c>
      <c r="CZ129" s="78" t="e">
        <f t="shared" si="126"/>
        <v>#REF!</v>
      </c>
      <c r="DA129" s="78"/>
    </row>
    <row r="130" spans="1:105">
      <c r="A130" s="91"/>
      <c r="B130" s="14"/>
      <c r="H130" s="15">
        <f t="shared" si="140"/>
        <v>0</v>
      </c>
      <c r="I130" s="18">
        <f t="shared" si="149"/>
        <v>0</v>
      </c>
      <c r="J130" s="15">
        <f t="shared" si="150"/>
        <v>0</v>
      </c>
      <c r="O130" s="15">
        <f t="shared" si="116"/>
        <v>0</v>
      </c>
      <c r="P130" s="18">
        <f t="shared" si="151"/>
        <v>0</v>
      </c>
      <c r="Q130" s="15">
        <f t="shared" si="152"/>
        <v>0</v>
      </c>
      <c r="V130" s="15">
        <f t="shared" si="145"/>
        <v>0</v>
      </c>
      <c r="W130" s="15">
        <f t="shared" si="146"/>
        <v>0</v>
      </c>
      <c r="X130" s="15">
        <f t="shared" si="139"/>
        <v>0</v>
      </c>
      <c r="Y130" s="15">
        <f>J130+Q130+X130</f>
        <v>0</v>
      </c>
      <c r="Z130" s="15">
        <f>SUM(H130,O130,V130)</f>
        <v>0</v>
      </c>
      <c r="AA130" s="78" t="e">
        <f t="shared" si="123"/>
        <v>#DIV/0!</v>
      </c>
      <c r="AB130" s="78"/>
      <c r="AG130" s="15">
        <f t="shared" si="117"/>
        <v>0</v>
      </c>
      <c r="AH130" s="15">
        <f t="shared" si="127"/>
        <v>0</v>
      </c>
      <c r="AI130" s="15">
        <f t="shared" si="128"/>
        <v>0</v>
      </c>
      <c r="AO130" s="15">
        <f t="shared" si="118"/>
        <v>0</v>
      </c>
      <c r="AP130" s="15">
        <f t="shared" si="129"/>
        <v>0</v>
      </c>
      <c r="AQ130" s="15">
        <f t="shared" si="130"/>
        <v>0</v>
      </c>
      <c r="AV130" s="15">
        <f>COUNTIF(AR130:AU130,"PR")</f>
        <v>0</v>
      </c>
      <c r="AW130" s="15">
        <f t="shared" si="147"/>
        <v>0</v>
      </c>
      <c r="AX130" s="15">
        <f t="shared" si="138"/>
        <v>0</v>
      </c>
      <c r="AY130" s="15">
        <f>AI130+AQ130+AX130</f>
        <v>0</v>
      </c>
      <c r="AZ130" s="15">
        <f>SUM(AG130,AO130,AV130)</f>
        <v>0</v>
      </c>
      <c r="BA130" s="78" t="e">
        <f t="shared" si="124"/>
        <v>#DIV/0!</v>
      </c>
      <c r="BD130" s="1"/>
      <c r="BF130" s="15">
        <f t="shared" si="119"/>
        <v>0</v>
      </c>
      <c r="BG130" s="15">
        <f t="shared" si="131"/>
        <v>0</v>
      </c>
      <c r="BH130" s="15">
        <f t="shared" si="132"/>
        <v>0</v>
      </c>
      <c r="BN130" s="15">
        <f t="shared" si="120"/>
        <v>0</v>
      </c>
      <c r="BO130" s="15">
        <f t="shared" si="148"/>
        <v>0</v>
      </c>
      <c r="BP130" s="15">
        <f t="shared" si="133"/>
        <v>0</v>
      </c>
      <c r="BU130" s="15">
        <f t="shared" si="121"/>
        <v>0</v>
      </c>
      <c r="BV130" s="15">
        <f t="shared" si="134"/>
        <v>0</v>
      </c>
      <c r="BW130" s="15">
        <f t="shared" si="135"/>
        <v>0</v>
      </c>
      <c r="BX130" s="15">
        <f t="shared" si="141"/>
        <v>0</v>
      </c>
      <c r="BY130" s="15">
        <f t="shared" si="142"/>
        <v>0</v>
      </c>
      <c r="BZ130" s="78" t="e">
        <f t="shared" si="125"/>
        <v>#DIV/0!</v>
      </c>
      <c r="CA130" s="78"/>
      <c r="CG130" s="15">
        <f>COUNTIF(CB130:CF130,"PR")</f>
        <v>0</v>
      </c>
      <c r="CH130" s="15">
        <f>COUNTIF(CB130:CF130,"AB")</f>
        <v>0</v>
      </c>
      <c r="CI130" s="15">
        <f t="shared" si="136"/>
        <v>0</v>
      </c>
      <c r="CN130" s="15">
        <f>COUNTIF(CJ130:CM130,"PR")</f>
        <v>0</v>
      </c>
      <c r="CO130" s="15">
        <f>COUNTIF(CJ130:CM130,"AB")</f>
        <v>0</v>
      </c>
      <c r="CP130" s="15">
        <f t="shared" si="137"/>
        <v>0</v>
      </c>
      <c r="CU130" s="15">
        <f t="shared" si="122"/>
        <v>0</v>
      </c>
      <c r="CV130" s="15">
        <f t="shared" si="143"/>
        <v>0</v>
      </c>
      <c r="CW130" s="15">
        <f t="shared" si="144"/>
        <v>0</v>
      </c>
      <c r="CX130" s="15">
        <f>CG130+CN130+CU130</f>
        <v>0</v>
      </c>
      <c r="CY130" s="15" t="e">
        <f>SUM(CE130,#REF!,CS130)</f>
        <v>#REF!</v>
      </c>
      <c r="CZ130" s="78" t="e">
        <f t="shared" si="126"/>
        <v>#REF!</v>
      </c>
      <c r="DA130" s="78"/>
    </row>
    <row r="131" spans="1:105">
      <c r="A131" s="91"/>
      <c r="B131" s="14"/>
      <c r="H131" s="15">
        <f t="shared" si="140"/>
        <v>0</v>
      </c>
      <c r="I131" s="18">
        <f t="shared" si="149"/>
        <v>0</v>
      </c>
      <c r="J131" s="15">
        <f t="shared" si="150"/>
        <v>0</v>
      </c>
      <c r="O131" s="15">
        <f t="shared" si="116"/>
        <v>0</v>
      </c>
      <c r="P131" s="18">
        <f t="shared" si="151"/>
        <v>0</v>
      </c>
      <c r="Q131" s="15">
        <f t="shared" si="152"/>
        <v>0</v>
      </c>
      <c r="V131" s="15">
        <f t="shared" si="145"/>
        <v>0</v>
      </c>
      <c r="W131" s="15">
        <f t="shared" si="146"/>
        <v>0</v>
      </c>
      <c r="X131" s="15">
        <f t="shared" si="139"/>
        <v>0</v>
      </c>
      <c r="Y131" s="15">
        <f>J131+Q131+X131</f>
        <v>0</v>
      </c>
      <c r="Z131" s="15">
        <f>SUM(H131,O131,V131)</f>
        <v>0</v>
      </c>
      <c r="AA131" s="78" t="e">
        <f t="shared" si="123"/>
        <v>#DIV/0!</v>
      </c>
      <c r="AB131" s="78"/>
      <c r="AG131" s="15">
        <f t="shared" si="117"/>
        <v>0</v>
      </c>
      <c r="AH131" s="15">
        <f t="shared" si="127"/>
        <v>0</v>
      </c>
      <c r="AI131" s="15">
        <f t="shared" si="128"/>
        <v>0</v>
      </c>
      <c r="AO131" s="15">
        <f t="shared" si="118"/>
        <v>0</v>
      </c>
      <c r="AP131" s="15">
        <f t="shared" si="129"/>
        <v>0</v>
      </c>
      <c r="AQ131" s="15">
        <f t="shared" si="130"/>
        <v>0</v>
      </c>
      <c r="AV131" s="15">
        <f>COUNTIF(AR131:AU131,"PR")</f>
        <v>0</v>
      </c>
      <c r="AW131" s="15">
        <f t="shared" si="147"/>
        <v>0</v>
      </c>
      <c r="AX131" s="15">
        <f t="shared" si="138"/>
        <v>0</v>
      </c>
      <c r="AY131" s="15">
        <f>AI131+AQ131+AX131</f>
        <v>0</v>
      </c>
      <c r="AZ131" s="15">
        <f>SUM(AG131,AO131,AV131)</f>
        <v>0</v>
      </c>
      <c r="BA131" s="78" t="e">
        <f t="shared" si="124"/>
        <v>#DIV/0!</v>
      </c>
      <c r="BD131" s="1"/>
      <c r="BF131" s="15">
        <f t="shared" si="119"/>
        <v>0</v>
      </c>
      <c r="BG131" s="15">
        <f t="shared" si="131"/>
        <v>0</v>
      </c>
      <c r="BH131" s="15">
        <f t="shared" si="132"/>
        <v>0</v>
      </c>
      <c r="BN131" s="15">
        <f t="shared" si="120"/>
        <v>0</v>
      </c>
      <c r="BO131" s="15">
        <f t="shared" si="148"/>
        <v>0</v>
      </c>
      <c r="BP131" s="15">
        <f t="shared" si="133"/>
        <v>0</v>
      </c>
      <c r="BU131" s="15">
        <f t="shared" si="121"/>
        <v>0</v>
      </c>
      <c r="BV131" s="15">
        <f t="shared" si="134"/>
        <v>0</v>
      </c>
      <c r="BW131" s="15">
        <f t="shared" si="135"/>
        <v>0</v>
      </c>
      <c r="BX131" s="15">
        <f t="shared" si="141"/>
        <v>0</v>
      </c>
      <c r="BY131" s="15">
        <f t="shared" si="142"/>
        <v>0</v>
      </c>
      <c r="BZ131" s="78" t="e">
        <f t="shared" si="125"/>
        <v>#DIV/0!</v>
      </c>
      <c r="CA131" s="78"/>
      <c r="CG131" s="15">
        <f>COUNTIF(CB131:CF131,"PR")</f>
        <v>0</v>
      </c>
      <c r="CH131" s="15">
        <f>COUNTIF(CB131:CF131,"AB")</f>
        <v>0</v>
      </c>
      <c r="CI131" s="15">
        <f t="shared" si="136"/>
        <v>0</v>
      </c>
      <c r="CN131" s="15">
        <f>COUNTIF(CJ131:CM131,"PR")</f>
        <v>0</v>
      </c>
      <c r="CO131" s="15">
        <f>COUNTIF(CJ131:CM131,"AB")</f>
        <v>0</v>
      </c>
      <c r="CP131" s="15">
        <f t="shared" si="137"/>
        <v>0</v>
      </c>
      <c r="CU131" s="15">
        <f t="shared" si="122"/>
        <v>0</v>
      </c>
      <c r="CV131" s="15">
        <f t="shared" si="143"/>
        <v>0</v>
      </c>
      <c r="CW131" s="15">
        <f t="shared" si="144"/>
        <v>0</v>
      </c>
      <c r="CX131" s="15">
        <f>CG131+CN131+CU131</f>
        <v>0</v>
      </c>
      <c r="CY131" s="15" t="e">
        <f>SUM(CE131,#REF!,CS131)</f>
        <v>#REF!</v>
      </c>
      <c r="CZ131" s="78" t="e">
        <f t="shared" si="126"/>
        <v>#REF!</v>
      </c>
      <c r="DA131" s="78"/>
    </row>
    <row r="132" spans="1:105">
      <c r="A132" s="91"/>
      <c r="B132" s="14"/>
      <c r="H132" s="15">
        <f t="shared" si="140"/>
        <v>0</v>
      </c>
      <c r="I132" s="18">
        <f t="shared" si="149"/>
        <v>0</v>
      </c>
      <c r="J132" s="15">
        <f t="shared" si="150"/>
        <v>0</v>
      </c>
      <c r="O132" s="15">
        <f t="shared" si="116"/>
        <v>0</v>
      </c>
      <c r="P132" s="18">
        <f t="shared" si="151"/>
        <v>0</v>
      </c>
      <c r="Q132" s="15">
        <f t="shared" si="152"/>
        <v>0</v>
      </c>
      <c r="V132" s="15">
        <f t="shared" si="145"/>
        <v>0</v>
      </c>
      <c r="W132" s="15">
        <f t="shared" si="146"/>
        <v>0</v>
      </c>
      <c r="X132" s="15">
        <f t="shared" si="139"/>
        <v>0</v>
      </c>
      <c r="Y132" s="15">
        <f>J132+Q132+X132</f>
        <v>0</v>
      </c>
      <c r="Z132" s="15">
        <f>SUM(H132,O132,V132)</f>
        <v>0</v>
      </c>
      <c r="AA132" s="78" t="e">
        <f t="shared" si="123"/>
        <v>#DIV/0!</v>
      </c>
      <c r="AB132" s="78"/>
      <c r="AG132" s="15">
        <f t="shared" si="117"/>
        <v>0</v>
      </c>
      <c r="AH132" s="15">
        <f t="shared" si="127"/>
        <v>0</v>
      </c>
      <c r="AI132" s="15">
        <f t="shared" si="128"/>
        <v>0</v>
      </c>
      <c r="AO132" s="15">
        <f t="shared" si="118"/>
        <v>0</v>
      </c>
      <c r="AP132" s="15">
        <f t="shared" si="129"/>
        <v>0</v>
      </c>
      <c r="AQ132" s="15">
        <f t="shared" si="130"/>
        <v>0</v>
      </c>
      <c r="AV132" s="15">
        <f>COUNTIF(AR132:AU132,"PR")</f>
        <v>0</v>
      </c>
      <c r="AW132" s="15">
        <f t="shared" si="147"/>
        <v>0</v>
      </c>
      <c r="AX132" s="15">
        <f t="shared" si="138"/>
        <v>0</v>
      </c>
      <c r="AY132" s="15">
        <f>AI132+AQ132+AX132</f>
        <v>0</v>
      </c>
      <c r="AZ132" s="15">
        <f>SUM(AG132,AO132,AV132)</f>
        <v>0</v>
      </c>
      <c r="BA132" s="78" t="e">
        <f t="shared" si="124"/>
        <v>#DIV/0!</v>
      </c>
      <c r="BD132" s="1"/>
      <c r="BF132" s="15">
        <f t="shared" si="119"/>
        <v>0</v>
      </c>
      <c r="BG132" s="15">
        <f t="shared" si="131"/>
        <v>0</v>
      </c>
      <c r="BH132" s="15">
        <f t="shared" si="132"/>
        <v>0</v>
      </c>
      <c r="BN132" s="15">
        <f t="shared" si="120"/>
        <v>0</v>
      </c>
      <c r="BO132" s="15">
        <f t="shared" si="148"/>
        <v>0</v>
      </c>
      <c r="BP132" s="15">
        <f t="shared" si="133"/>
        <v>0</v>
      </c>
      <c r="BU132" s="15">
        <f t="shared" si="121"/>
        <v>0</v>
      </c>
      <c r="BV132" s="15">
        <f t="shared" si="134"/>
        <v>0</v>
      </c>
      <c r="BW132" s="15">
        <f t="shared" si="135"/>
        <v>0</v>
      </c>
      <c r="BX132" s="15">
        <f t="shared" si="141"/>
        <v>0</v>
      </c>
      <c r="BY132" s="15">
        <f t="shared" si="142"/>
        <v>0</v>
      </c>
      <c r="BZ132" s="78" t="e">
        <f t="shared" si="125"/>
        <v>#DIV/0!</v>
      </c>
      <c r="CA132" s="78"/>
      <c r="CG132" s="15">
        <f>COUNTIF(CB132:CF132,"PR")</f>
        <v>0</v>
      </c>
      <c r="CH132" s="15">
        <f>COUNTIF(CB132:CF132,"AB")</f>
        <v>0</v>
      </c>
      <c r="CI132" s="15">
        <f t="shared" si="136"/>
        <v>0</v>
      </c>
      <c r="CN132" s="15">
        <f>COUNTIF(CJ132:CM132,"PR")</f>
        <v>0</v>
      </c>
      <c r="CO132" s="15">
        <f>COUNTIF(CJ132:CM132,"AB")</f>
        <v>0</v>
      </c>
      <c r="CP132" s="15">
        <f t="shared" si="137"/>
        <v>0</v>
      </c>
      <c r="CU132" s="15">
        <f t="shared" si="122"/>
        <v>0</v>
      </c>
      <c r="CV132" s="15">
        <f t="shared" si="143"/>
        <v>0</v>
      </c>
      <c r="CW132" s="15">
        <f t="shared" si="144"/>
        <v>0</v>
      </c>
      <c r="CX132" s="15">
        <f>CG132+CN132+CU132</f>
        <v>0</v>
      </c>
      <c r="CY132" s="15" t="e">
        <f>SUM(CE132,#REF!,CS132)</f>
        <v>#REF!</v>
      </c>
      <c r="CZ132" s="78" t="e">
        <f t="shared" si="126"/>
        <v>#REF!</v>
      </c>
      <c r="DA132" s="78"/>
    </row>
    <row r="133" spans="1:105">
      <c r="A133" s="91"/>
      <c r="B133" s="14"/>
      <c r="H133" s="15">
        <f t="shared" si="140"/>
        <v>0</v>
      </c>
      <c r="I133" s="18">
        <f t="shared" si="149"/>
        <v>0</v>
      </c>
      <c r="J133" s="15">
        <f t="shared" si="150"/>
        <v>0</v>
      </c>
      <c r="O133" s="15">
        <f t="shared" si="116"/>
        <v>0</v>
      </c>
      <c r="P133" s="18">
        <f t="shared" si="151"/>
        <v>0</v>
      </c>
      <c r="Q133" s="15">
        <f t="shared" si="152"/>
        <v>0</v>
      </c>
      <c r="V133" s="15">
        <f t="shared" si="145"/>
        <v>0</v>
      </c>
      <c r="W133" s="15">
        <f t="shared" si="146"/>
        <v>0</v>
      </c>
      <c r="X133" s="15">
        <f t="shared" si="139"/>
        <v>0</v>
      </c>
      <c r="Y133" s="15">
        <f>J133+Q133+X133</f>
        <v>0</v>
      </c>
      <c r="Z133" s="15">
        <f>SUM(H133,O133,V133)</f>
        <v>0</v>
      </c>
      <c r="AA133" s="78" t="e">
        <f t="shared" si="123"/>
        <v>#DIV/0!</v>
      </c>
      <c r="AB133" s="78"/>
      <c r="AG133" s="15">
        <f t="shared" si="117"/>
        <v>0</v>
      </c>
      <c r="AH133" s="15">
        <f t="shared" si="127"/>
        <v>0</v>
      </c>
      <c r="AI133" s="15">
        <f t="shared" si="128"/>
        <v>0</v>
      </c>
      <c r="AO133" s="15">
        <f t="shared" si="118"/>
        <v>0</v>
      </c>
      <c r="AP133" s="15">
        <f t="shared" si="129"/>
        <v>0</v>
      </c>
      <c r="AQ133" s="15">
        <f t="shared" si="130"/>
        <v>0</v>
      </c>
      <c r="AV133" s="15">
        <f>COUNTIF(AR133:AU133,"PR")</f>
        <v>0</v>
      </c>
      <c r="AW133" s="15">
        <f t="shared" si="147"/>
        <v>0</v>
      </c>
      <c r="AX133" s="15">
        <f t="shared" si="138"/>
        <v>0</v>
      </c>
      <c r="AY133" s="15">
        <f>AI133+AQ133+AX133</f>
        <v>0</v>
      </c>
      <c r="AZ133" s="15">
        <f>SUM(AG133,AO133,AV133)</f>
        <v>0</v>
      </c>
      <c r="BA133" s="78" t="e">
        <f t="shared" si="124"/>
        <v>#DIV/0!</v>
      </c>
      <c r="BD133" s="1"/>
      <c r="BF133" s="15">
        <f t="shared" si="119"/>
        <v>0</v>
      </c>
      <c r="BG133" s="15">
        <f t="shared" si="131"/>
        <v>0</v>
      </c>
      <c r="BH133" s="15">
        <f t="shared" si="132"/>
        <v>0</v>
      </c>
      <c r="BN133" s="15">
        <f t="shared" si="120"/>
        <v>0</v>
      </c>
      <c r="BO133" s="15">
        <f t="shared" si="148"/>
        <v>0</v>
      </c>
      <c r="BP133" s="15">
        <f t="shared" si="133"/>
        <v>0</v>
      </c>
      <c r="BU133" s="15">
        <f t="shared" si="121"/>
        <v>0</v>
      </c>
      <c r="BV133" s="15">
        <f t="shared" si="134"/>
        <v>0</v>
      </c>
      <c r="BW133" s="15">
        <f t="shared" si="135"/>
        <v>0</v>
      </c>
      <c r="BX133" s="15">
        <f t="shared" si="141"/>
        <v>0</v>
      </c>
      <c r="BY133" s="15">
        <f t="shared" si="142"/>
        <v>0</v>
      </c>
      <c r="BZ133" s="78" t="e">
        <f t="shared" si="125"/>
        <v>#DIV/0!</v>
      </c>
      <c r="CA133" s="78"/>
      <c r="CG133" s="15">
        <f>COUNTIF(CB133:CF133,"PR")</f>
        <v>0</v>
      </c>
      <c r="CH133" s="15">
        <f>COUNTIF(CB133:CF133,"AB")</f>
        <v>0</v>
      </c>
      <c r="CI133" s="15">
        <f t="shared" si="136"/>
        <v>0</v>
      </c>
      <c r="CN133" s="15">
        <f>COUNTIF(CJ133:CM133,"PR")</f>
        <v>0</v>
      </c>
      <c r="CO133" s="15">
        <f>COUNTIF(CJ133:CM133,"AB")</f>
        <v>0</v>
      </c>
      <c r="CP133" s="15">
        <f t="shared" si="137"/>
        <v>0</v>
      </c>
      <c r="CU133" s="15">
        <f t="shared" si="122"/>
        <v>0</v>
      </c>
      <c r="CV133" s="15">
        <f t="shared" si="143"/>
        <v>0</v>
      </c>
      <c r="CW133" s="15">
        <f t="shared" si="144"/>
        <v>0</v>
      </c>
      <c r="CX133" s="15">
        <f>CG133+CN133+CU133</f>
        <v>0</v>
      </c>
      <c r="CY133" s="15" t="e">
        <f>SUM(CE133,#REF!,CS133)</f>
        <v>#REF!</v>
      </c>
      <c r="CZ133" s="78" t="e">
        <f t="shared" si="126"/>
        <v>#REF!</v>
      </c>
      <c r="DA133" s="78"/>
    </row>
    <row r="134" spans="1:105">
      <c r="A134" s="91"/>
      <c r="B134" s="14"/>
      <c r="H134" s="15">
        <f t="shared" si="140"/>
        <v>0</v>
      </c>
      <c r="I134" s="18">
        <f t="shared" si="149"/>
        <v>0</v>
      </c>
      <c r="J134" s="15">
        <f t="shared" si="150"/>
        <v>0</v>
      </c>
      <c r="O134" s="15">
        <f t="shared" si="116"/>
        <v>0</v>
      </c>
      <c r="P134" s="18">
        <f t="shared" si="151"/>
        <v>0</v>
      </c>
      <c r="Q134" s="15">
        <f t="shared" si="152"/>
        <v>0</v>
      </c>
      <c r="V134" s="15">
        <f t="shared" si="145"/>
        <v>0</v>
      </c>
      <c r="W134" s="15">
        <f t="shared" si="146"/>
        <v>0</v>
      </c>
      <c r="X134" s="15">
        <f t="shared" si="139"/>
        <v>0</v>
      </c>
      <c r="Y134" s="15">
        <f>J134+Q134+X134</f>
        <v>0</v>
      </c>
      <c r="Z134" s="15">
        <f>SUM(H134,O134,V134)</f>
        <v>0</v>
      </c>
      <c r="AA134" s="78" t="e">
        <f t="shared" si="123"/>
        <v>#DIV/0!</v>
      </c>
      <c r="AB134" s="78"/>
      <c r="AG134" s="15">
        <f t="shared" si="117"/>
        <v>0</v>
      </c>
      <c r="AH134" s="15">
        <f t="shared" si="127"/>
        <v>0</v>
      </c>
      <c r="AI134" s="15">
        <f t="shared" si="128"/>
        <v>0</v>
      </c>
      <c r="AO134" s="15">
        <f t="shared" si="118"/>
        <v>0</v>
      </c>
      <c r="AP134" s="15">
        <f t="shared" si="129"/>
        <v>0</v>
      </c>
      <c r="AQ134" s="15">
        <f t="shared" si="130"/>
        <v>0</v>
      </c>
      <c r="AV134" s="15">
        <f>COUNTIF(AR134:AU134,"PR")</f>
        <v>0</v>
      </c>
      <c r="AW134" s="15">
        <f t="shared" si="147"/>
        <v>0</v>
      </c>
      <c r="AX134" s="15">
        <f t="shared" si="138"/>
        <v>0</v>
      </c>
      <c r="AY134" s="15">
        <f>AI134+AQ134+AX134</f>
        <v>0</v>
      </c>
      <c r="AZ134" s="15">
        <f>SUM(AG134,AO134,AV134)</f>
        <v>0</v>
      </c>
      <c r="BA134" s="78" t="e">
        <f t="shared" si="124"/>
        <v>#DIV/0!</v>
      </c>
      <c r="BD134" s="1"/>
      <c r="BF134" s="15">
        <f t="shared" si="119"/>
        <v>0</v>
      </c>
      <c r="BG134" s="15">
        <f t="shared" si="131"/>
        <v>0</v>
      </c>
      <c r="BH134" s="15">
        <f t="shared" si="132"/>
        <v>0</v>
      </c>
      <c r="BN134" s="15">
        <f t="shared" si="120"/>
        <v>0</v>
      </c>
      <c r="BO134" s="15">
        <f t="shared" si="148"/>
        <v>0</v>
      </c>
      <c r="BP134" s="15">
        <f t="shared" si="133"/>
        <v>0</v>
      </c>
      <c r="BU134" s="15">
        <f t="shared" si="121"/>
        <v>0</v>
      </c>
      <c r="BV134" s="15">
        <f t="shared" si="134"/>
        <v>0</v>
      </c>
      <c r="BW134" s="15">
        <f t="shared" si="135"/>
        <v>0</v>
      </c>
      <c r="BX134" s="15">
        <f t="shared" si="141"/>
        <v>0</v>
      </c>
      <c r="BY134" s="15">
        <f t="shared" si="142"/>
        <v>0</v>
      </c>
      <c r="BZ134" s="78" t="e">
        <f t="shared" si="125"/>
        <v>#DIV/0!</v>
      </c>
      <c r="CA134" s="78"/>
      <c r="CG134" s="15">
        <f>COUNTIF(CB134:CF134,"PR")</f>
        <v>0</v>
      </c>
      <c r="CH134" s="15">
        <f>COUNTIF(CB134:CF134,"AB")</f>
        <v>0</v>
      </c>
      <c r="CI134" s="15">
        <f t="shared" si="136"/>
        <v>0</v>
      </c>
      <c r="CN134" s="15">
        <f>COUNTIF(CJ134:CM134,"PR")</f>
        <v>0</v>
      </c>
      <c r="CO134" s="15">
        <f>COUNTIF(CJ134:CM134,"AB")</f>
        <v>0</v>
      </c>
      <c r="CP134" s="15">
        <f t="shared" si="137"/>
        <v>0</v>
      </c>
      <c r="CU134" s="15">
        <f t="shared" si="122"/>
        <v>0</v>
      </c>
      <c r="CV134" s="15">
        <f t="shared" si="143"/>
        <v>0</v>
      </c>
      <c r="CW134" s="15">
        <f t="shared" si="144"/>
        <v>0</v>
      </c>
      <c r="CX134" s="15">
        <f>CG134+CN134+CU134</f>
        <v>0</v>
      </c>
      <c r="CY134" s="15" t="e">
        <f>SUM(CE134,#REF!,CS134)</f>
        <v>#REF!</v>
      </c>
      <c r="CZ134" s="78" t="e">
        <f t="shared" si="126"/>
        <v>#REF!</v>
      </c>
      <c r="DA134" s="78"/>
    </row>
    <row r="135" spans="1:105">
      <c r="A135" s="91"/>
      <c r="B135" s="14"/>
      <c r="H135" s="15">
        <f t="shared" si="140"/>
        <v>0</v>
      </c>
      <c r="I135" s="18">
        <f t="shared" si="149"/>
        <v>0</v>
      </c>
      <c r="J135" s="15">
        <f t="shared" si="150"/>
        <v>0</v>
      </c>
      <c r="O135" s="15">
        <f t="shared" si="116"/>
        <v>0</v>
      </c>
      <c r="P135" s="18">
        <f t="shared" si="151"/>
        <v>0</v>
      </c>
      <c r="Q135" s="15">
        <f t="shared" si="152"/>
        <v>0</v>
      </c>
      <c r="V135" s="15">
        <f t="shared" si="145"/>
        <v>0</v>
      </c>
      <c r="W135" s="15">
        <f t="shared" si="146"/>
        <v>0</v>
      </c>
      <c r="X135" s="15">
        <f t="shared" si="139"/>
        <v>0</v>
      </c>
      <c r="Y135" s="15">
        <f>J135+Q135+X135</f>
        <v>0</v>
      </c>
      <c r="Z135" s="15">
        <f>SUM(H135,O135,V135)</f>
        <v>0</v>
      </c>
      <c r="AA135" s="78" t="e">
        <f t="shared" si="123"/>
        <v>#DIV/0!</v>
      </c>
      <c r="AB135" s="78"/>
      <c r="AG135" s="15">
        <f t="shared" si="117"/>
        <v>0</v>
      </c>
      <c r="AH135" s="15">
        <f t="shared" si="127"/>
        <v>0</v>
      </c>
      <c r="AI135" s="15">
        <f t="shared" si="128"/>
        <v>0</v>
      </c>
      <c r="AO135" s="15">
        <f t="shared" si="118"/>
        <v>0</v>
      </c>
      <c r="AP135" s="15">
        <f t="shared" si="129"/>
        <v>0</v>
      </c>
      <c r="AQ135" s="15">
        <f t="shared" si="130"/>
        <v>0</v>
      </c>
      <c r="AV135" s="15">
        <f>COUNTIF(AR135:AU135,"PR")</f>
        <v>0</v>
      </c>
      <c r="AW135" s="15">
        <f t="shared" si="147"/>
        <v>0</v>
      </c>
      <c r="AX135" s="15">
        <f t="shared" si="138"/>
        <v>0</v>
      </c>
      <c r="AY135" s="15">
        <f>AI135+AQ135+AX135</f>
        <v>0</v>
      </c>
      <c r="AZ135" s="15">
        <f>SUM(AG135,AO135,AV135)</f>
        <v>0</v>
      </c>
      <c r="BA135" s="78" t="e">
        <f t="shared" si="124"/>
        <v>#DIV/0!</v>
      </c>
      <c r="BD135" s="1"/>
      <c r="BF135" s="15">
        <f t="shared" si="119"/>
        <v>0</v>
      </c>
      <c r="BG135" s="15">
        <f t="shared" si="131"/>
        <v>0</v>
      </c>
      <c r="BH135" s="15">
        <f t="shared" si="132"/>
        <v>0</v>
      </c>
      <c r="BN135" s="15">
        <f t="shared" si="120"/>
        <v>0</v>
      </c>
      <c r="BO135" s="15">
        <f t="shared" si="148"/>
        <v>0</v>
      </c>
      <c r="BP135" s="15">
        <f t="shared" si="133"/>
        <v>0</v>
      </c>
      <c r="BU135" s="15">
        <f t="shared" si="121"/>
        <v>0</v>
      </c>
      <c r="BV135" s="15">
        <f t="shared" si="134"/>
        <v>0</v>
      </c>
      <c r="BW135" s="15">
        <f t="shared" si="135"/>
        <v>0</v>
      </c>
      <c r="BX135" s="15">
        <f t="shared" si="141"/>
        <v>0</v>
      </c>
      <c r="BY135" s="15">
        <f t="shared" si="142"/>
        <v>0</v>
      </c>
      <c r="BZ135" s="78" t="e">
        <f t="shared" si="125"/>
        <v>#DIV/0!</v>
      </c>
      <c r="CA135" s="78"/>
      <c r="CG135" s="15">
        <f>COUNTIF(CB135:CF135,"PR")</f>
        <v>0</v>
      </c>
      <c r="CH135" s="15">
        <f>COUNTIF(CB135:CF135,"AB")</f>
        <v>0</v>
      </c>
      <c r="CI135" s="15">
        <f t="shared" si="136"/>
        <v>0</v>
      </c>
      <c r="CN135" s="15">
        <f>COUNTIF(CJ135:CM135,"PR")</f>
        <v>0</v>
      </c>
      <c r="CO135" s="15">
        <f>COUNTIF(CJ135:CM135,"AB")</f>
        <v>0</v>
      </c>
      <c r="CP135" s="15">
        <f t="shared" si="137"/>
        <v>0</v>
      </c>
      <c r="CU135" s="15">
        <f t="shared" si="122"/>
        <v>0</v>
      </c>
      <c r="CV135" s="15">
        <f t="shared" si="143"/>
        <v>0</v>
      </c>
      <c r="CW135" s="15">
        <f t="shared" si="144"/>
        <v>0</v>
      </c>
      <c r="CX135" s="15">
        <f>CG135+CN135+CU135</f>
        <v>0</v>
      </c>
      <c r="CY135" s="15" t="e">
        <f>SUM(CE135,#REF!,CS135)</f>
        <v>#REF!</v>
      </c>
      <c r="CZ135" s="78" t="e">
        <f t="shared" si="126"/>
        <v>#REF!</v>
      </c>
      <c r="DA135" s="78"/>
    </row>
    <row r="136" spans="1:105">
      <c r="A136" s="91"/>
      <c r="B136" s="14"/>
      <c r="H136" s="15">
        <f t="shared" si="140"/>
        <v>0</v>
      </c>
      <c r="I136" s="18">
        <f t="shared" si="149"/>
        <v>0</v>
      </c>
      <c r="J136" s="15">
        <f t="shared" si="150"/>
        <v>0</v>
      </c>
      <c r="O136" s="15">
        <f t="shared" si="116"/>
        <v>0</v>
      </c>
      <c r="P136" s="18">
        <f t="shared" si="151"/>
        <v>0</v>
      </c>
      <c r="Q136" s="15">
        <f t="shared" si="152"/>
        <v>0</v>
      </c>
      <c r="V136" s="15">
        <f t="shared" si="145"/>
        <v>0</v>
      </c>
      <c r="W136" s="15">
        <f t="shared" si="146"/>
        <v>0</v>
      </c>
      <c r="X136" s="15">
        <f t="shared" si="139"/>
        <v>0</v>
      </c>
      <c r="Y136" s="15">
        <f>J136+Q136+X136</f>
        <v>0</v>
      </c>
      <c r="Z136" s="15">
        <f>SUM(H136,O136,V136)</f>
        <v>0</v>
      </c>
      <c r="AA136" s="78" t="e">
        <f t="shared" si="123"/>
        <v>#DIV/0!</v>
      </c>
      <c r="AB136" s="78"/>
      <c r="AG136" s="15">
        <f t="shared" si="117"/>
        <v>0</v>
      </c>
      <c r="AH136" s="15">
        <f t="shared" si="127"/>
        <v>0</v>
      </c>
      <c r="AI136" s="15">
        <f t="shared" si="128"/>
        <v>0</v>
      </c>
      <c r="AO136" s="15">
        <f t="shared" si="118"/>
        <v>0</v>
      </c>
      <c r="AP136" s="15">
        <f t="shared" si="129"/>
        <v>0</v>
      </c>
      <c r="AQ136" s="15">
        <f t="shared" si="130"/>
        <v>0</v>
      </c>
      <c r="AV136" s="15">
        <f>COUNTIF(AR136:AU136,"PR")</f>
        <v>0</v>
      </c>
      <c r="AW136" s="15">
        <f t="shared" si="147"/>
        <v>0</v>
      </c>
      <c r="AX136" s="15">
        <f t="shared" si="138"/>
        <v>0</v>
      </c>
      <c r="AY136" s="15">
        <f>AI136+AQ136+AX136</f>
        <v>0</v>
      </c>
      <c r="AZ136" s="15">
        <f>SUM(AG136,AO136,AV136)</f>
        <v>0</v>
      </c>
      <c r="BA136" s="78" t="e">
        <f t="shared" si="124"/>
        <v>#DIV/0!</v>
      </c>
      <c r="BD136" s="1"/>
      <c r="BF136" s="15">
        <f t="shared" si="119"/>
        <v>0</v>
      </c>
      <c r="BG136" s="15">
        <f t="shared" si="131"/>
        <v>0</v>
      </c>
      <c r="BH136" s="15">
        <f t="shared" si="132"/>
        <v>0</v>
      </c>
      <c r="BN136" s="15">
        <f t="shared" si="120"/>
        <v>0</v>
      </c>
      <c r="BO136" s="15">
        <f t="shared" si="148"/>
        <v>0</v>
      </c>
      <c r="BP136" s="15">
        <f t="shared" si="133"/>
        <v>0</v>
      </c>
      <c r="BU136" s="15">
        <f t="shared" si="121"/>
        <v>0</v>
      </c>
      <c r="BV136" s="15">
        <f t="shared" si="134"/>
        <v>0</v>
      </c>
      <c r="BW136" s="15">
        <f t="shared" si="135"/>
        <v>0</v>
      </c>
      <c r="BX136" s="15">
        <f t="shared" si="141"/>
        <v>0</v>
      </c>
      <c r="BY136" s="15">
        <f t="shared" si="142"/>
        <v>0</v>
      </c>
      <c r="BZ136" s="78" t="e">
        <f t="shared" si="125"/>
        <v>#DIV/0!</v>
      </c>
      <c r="CA136" s="78"/>
      <c r="CG136" s="15">
        <f>COUNTIF(CB136:CF136,"PR")</f>
        <v>0</v>
      </c>
      <c r="CH136" s="15">
        <f>COUNTIF(CB136:CF136,"AB")</f>
        <v>0</v>
      </c>
      <c r="CI136" s="15">
        <f t="shared" si="136"/>
        <v>0</v>
      </c>
      <c r="CN136" s="15">
        <f>COUNTIF(CJ136:CM136,"PR")</f>
        <v>0</v>
      </c>
      <c r="CO136" s="15">
        <f>COUNTIF(CJ136:CM136,"AB")</f>
        <v>0</v>
      </c>
      <c r="CP136" s="15">
        <f t="shared" si="137"/>
        <v>0</v>
      </c>
      <c r="CU136" s="15">
        <f t="shared" si="122"/>
        <v>0</v>
      </c>
      <c r="CV136" s="15">
        <f t="shared" si="143"/>
        <v>0</v>
      </c>
      <c r="CW136" s="15">
        <f t="shared" si="144"/>
        <v>0</v>
      </c>
      <c r="CX136" s="15">
        <f>CG136+CN136+CU136</f>
        <v>0</v>
      </c>
      <c r="CY136" s="15" t="e">
        <f>SUM(CE136,#REF!,CS136)</f>
        <v>#REF!</v>
      </c>
      <c r="CZ136" s="78" t="e">
        <f t="shared" si="126"/>
        <v>#REF!</v>
      </c>
      <c r="DA136" s="78"/>
    </row>
    <row r="137" spans="1:105" s="8" customFormat="1">
      <c r="A137" s="92"/>
      <c r="H137" s="11">
        <f>SUM(H37:H136)</f>
        <v>0</v>
      </c>
      <c r="I137" s="11"/>
      <c r="J137" s="11">
        <f>SUM(J37:J136)</f>
        <v>0</v>
      </c>
      <c r="O137" s="11">
        <f>SUM(O37:O136)</f>
        <v>0</v>
      </c>
      <c r="P137" s="11"/>
      <c r="Q137" s="11">
        <f>SUM(Q37:Q136)</f>
        <v>0</v>
      </c>
      <c r="V137" s="11">
        <f>SUM(V37:V136)</f>
        <v>0</v>
      </c>
      <c r="W137" s="11">
        <f>SUM(W37:W136)</f>
        <v>0</v>
      </c>
      <c r="X137" s="11">
        <f>SUM(X37:X136)</f>
        <v>0</v>
      </c>
      <c r="Y137" s="11">
        <f>SUM(Y121:Y136)</f>
        <v>0</v>
      </c>
      <c r="Z137" s="11"/>
      <c r="AG137" s="11">
        <f>SUM(AG37:AG136)</f>
        <v>0</v>
      </c>
      <c r="AH137" s="11"/>
      <c r="AI137" s="11">
        <f>SUM(AI37:AI136)</f>
        <v>0</v>
      </c>
      <c r="AO137" s="11">
        <f>SUM(AO37:AO136)</f>
        <v>0</v>
      </c>
      <c r="AP137" s="11"/>
      <c r="AQ137" s="11">
        <f>SUM(AQ37:AQ136)</f>
        <v>0</v>
      </c>
      <c r="AV137" s="11">
        <f>SUM(AV37:AV136)</f>
        <v>0</v>
      </c>
      <c r="AW137" s="11"/>
      <c r="AX137" s="11">
        <f>SUM(AX37:AX136)</f>
        <v>0</v>
      </c>
      <c r="AY137" s="11">
        <f>SUM(AY121:AY136)</f>
        <v>0</v>
      </c>
      <c r="AZ137" s="11"/>
      <c r="BD137" s="85"/>
      <c r="BF137" s="11">
        <f>SUM(BF37:BF136)</f>
        <v>0</v>
      </c>
      <c r="BG137" s="11"/>
      <c r="BH137" s="11">
        <f>SUM(BH37:BH136)</f>
        <v>0</v>
      </c>
      <c r="BN137" s="11">
        <f>SUM(BN37:BN136)</f>
        <v>0</v>
      </c>
      <c r="BO137" s="11"/>
      <c r="BP137" s="11">
        <f>SUM(BP37:BP136)</f>
        <v>0</v>
      </c>
      <c r="BU137" s="11">
        <f>SUM(BU37:BU136)</f>
        <v>0</v>
      </c>
      <c r="BV137" s="11"/>
      <c r="BW137" s="11">
        <f>SUM(BW37:BW136)</f>
        <v>0</v>
      </c>
      <c r="BX137" s="11">
        <f>SUM(BX121:BX136)</f>
        <v>0</v>
      </c>
      <c r="BY137" s="11"/>
      <c r="CG137" s="11">
        <f>SUM(CG37:CG136)</f>
        <v>0</v>
      </c>
      <c r="CH137" s="11"/>
      <c r="CI137" s="11">
        <f>SUM(CI37:CI136)</f>
        <v>0</v>
      </c>
      <c r="CN137" s="11">
        <f>SUM(CN37:CN136)</f>
        <v>0</v>
      </c>
      <c r="CO137" s="11"/>
      <c r="CP137" s="11">
        <f>SUM(CP37:CP136)</f>
        <v>0</v>
      </c>
      <c r="CU137" s="11">
        <f>SUM(CU37:CU136)</f>
        <v>0</v>
      </c>
      <c r="CV137" s="11"/>
      <c r="CW137" s="11">
        <f>SUM(CW37:CW136)</f>
        <v>0</v>
      </c>
      <c r="CX137" s="11">
        <f>SUM(CX121:CX136)</f>
        <v>0</v>
      </c>
      <c r="CY137" s="11"/>
    </row>
    <row r="138" spans="1:105" s="8" customFormat="1">
      <c r="A138" s="90" t="s">
        <v>76</v>
      </c>
      <c r="H138" s="11"/>
      <c r="I138" s="11"/>
      <c r="J138" s="11"/>
      <c r="O138" s="11"/>
      <c r="P138" s="11"/>
      <c r="Q138" s="11"/>
      <c r="V138" s="11"/>
      <c r="W138" s="11"/>
      <c r="X138" s="11"/>
      <c r="Y138" s="11"/>
      <c r="Z138" s="11"/>
      <c r="AG138" s="11"/>
      <c r="AH138" s="11"/>
      <c r="AI138" s="11"/>
      <c r="AO138" s="11"/>
      <c r="AP138" s="11"/>
      <c r="AQ138" s="11"/>
      <c r="AV138" s="11"/>
      <c r="AW138" s="11"/>
      <c r="AX138" s="11"/>
      <c r="AY138" s="11"/>
      <c r="AZ138" s="11"/>
      <c r="BD138" s="85"/>
      <c r="BF138" s="11"/>
      <c r="BG138" s="11"/>
      <c r="BH138" s="11"/>
      <c r="BN138" s="11"/>
      <c r="BO138" s="11"/>
      <c r="BP138" s="11"/>
      <c r="BU138" s="11"/>
      <c r="BV138" s="11"/>
      <c r="BW138" s="11"/>
      <c r="BX138" s="11"/>
      <c r="BY138" s="11"/>
      <c r="CG138" s="11"/>
      <c r="CH138" s="11"/>
      <c r="CI138" s="11"/>
      <c r="CN138" s="11"/>
      <c r="CO138" s="11"/>
      <c r="CP138" s="11"/>
      <c r="CU138" s="11"/>
      <c r="CV138" s="11"/>
      <c r="CW138" s="11"/>
      <c r="CX138" s="11"/>
      <c r="CY138" s="11"/>
    </row>
    <row r="139" spans="1:105">
      <c r="A139" s="93"/>
      <c r="B139" s="14"/>
      <c r="H139" s="15">
        <f t="shared" ref="H139:H202" si="153">COUNTIF(C139:G139,"PR")</f>
        <v>0</v>
      </c>
      <c r="I139" s="18">
        <f t="shared" si="149"/>
        <v>0</v>
      </c>
      <c r="J139" s="15">
        <f t="shared" si="150"/>
        <v>0</v>
      </c>
      <c r="O139" s="15">
        <f t="shared" si="116"/>
        <v>0</v>
      </c>
      <c r="P139" s="18">
        <f t="shared" si="151"/>
        <v>0</v>
      </c>
      <c r="Q139" s="15">
        <f t="shared" si="152"/>
        <v>0</v>
      </c>
      <c r="V139" s="15">
        <f>COUNTIF(R139:U139,"PR")</f>
        <v>0</v>
      </c>
      <c r="W139" s="15">
        <f>COUNTIF(R139:U139,"AB")</f>
        <v>0</v>
      </c>
      <c r="X139" s="15">
        <f t="shared" si="139"/>
        <v>0</v>
      </c>
      <c r="Y139" s="15">
        <f>J139+Q139+X139</f>
        <v>0</v>
      </c>
      <c r="Z139" s="15">
        <f>SUM(H139,O139,V139)</f>
        <v>0</v>
      </c>
      <c r="AA139" s="78" t="e">
        <f>Z139/Y139*100</f>
        <v>#DIV/0!</v>
      </c>
      <c r="AB139" s="84"/>
      <c r="AG139" s="15">
        <f t="shared" si="117"/>
        <v>0</v>
      </c>
      <c r="AH139" s="15">
        <f t="shared" si="127"/>
        <v>0</v>
      </c>
      <c r="AI139" s="15">
        <f t="shared" si="128"/>
        <v>0</v>
      </c>
      <c r="AO139" s="15">
        <f t="shared" si="118"/>
        <v>0</v>
      </c>
      <c r="AP139" s="15">
        <f t="shared" si="129"/>
        <v>0</v>
      </c>
      <c r="AQ139" s="15">
        <f t="shared" si="130"/>
        <v>0</v>
      </c>
      <c r="AV139" s="15">
        <f>COUNTIF(AR139:AU139,"PR")</f>
        <v>0</v>
      </c>
      <c r="AW139" s="15">
        <f>COUNTIF(AR139:AU139,"AB")</f>
        <v>0</v>
      </c>
      <c r="AX139" s="15">
        <f t="shared" si="138"/>
        <v>0</v>
      </c>
      <c r="AY139" s="15">
        <f>AI139+AQ139+AX139</f>
        <v>0</v>
      </c>
      <c r="AZ139" s="15">
        <f>SUM(AG139,AO139,AV139)</f>
        <v>0</v>
      </c>
      <c r="BA139" s="78" t="e">
        <f t="shared" si="124"/>
        <v>#DIV/0!</v>
      </c>
      <c r="BD139" s="1"/>
      <c r="BF139" s="15">
        <f t="shared" si="119"/>
        <v>0</v>
      </c>
      <c r="BG139" s="15">
        <f t="shared" si="131"/>
        <v>0</v>
      </c>
      <c r="BH139" s="15">
        <f t="shared" si="132"/>
        <v>0</v>
      </c>
      <c r="BN139" s="15">
        <f t="shared" si="120"/>
        <v>0</v>
      </c>
      <c r="BO139" s="15">
        <f>COUNTIF(BI139:BM139,"AB")</f>
        <v>0</v>
      </c>
      <c r="BP139" s="15">
        <f t="shared" si="133"/>
        <v>0</v>
      </c>
      <c r="BU139" s="15">
        <f t="shared" si="121"/>
        <v>0</v>
      </c>
      <c r="BV139" s="15">
        <f t="shared" si="134"/>
        <v>0</v>
      </c>
      <c r="BW139" s="15">
        <f t="shared" si="135"/>
        <v>0</v>
      </c>
      <c r="BX139" s="15">
        <f>BH139+BP139+BW139</f>
        <v>0</v>
      </c>
      <c r="BY139" s="15">
        <f>SUM(BF139,BN139,BU139)</f>
        <v>0</v>
      </c>
      <c r="BZ139" s="1" t="e">
        <f t="shared" ref="BZ139:BZ144" si="154">BY139/BX139*100</f>
        <v>#DIV/0!</v>
      </c>
      <c r="CA139" s="84"/>
      <c r="CG139" s="15">
        <f>COUNTIF(CB139:CF139,"PR")</f>
        <v>0</v>
      </c>
      <c r="CH139" s="15">
        <f>COUNTIF(CB139:CF139,"AB")</f>
        <v>0</v>
      </c>
      <c r="CI139" s="15">
        <f t="shared" si="136"/>
        <v>0</v>
      </c>
      <c r="CN139" s="15">
        <f>COUNTIF(CJ139:CM139,"PR")</f>
        <v>0</v>
      </c>
      <c r="CO139" s="15">
        <f>COUNTIF(CJ139:CM139,"AB")</f>
        <v>0</v>
      </c>
      <c r="CP139" s="15">
        <f t="shared" si="137"/>
        <v>0</v>
      </c>
      <c r="CU139" s="15">
        <f t="shared" si="122"/>
        <v>0</v>
      </c>
      <c r="CV139" s="15">
        <f t="shared" ref="CV139:CV203" si="155">COUNTIF(CQ139:CT139,"AB")</f>
        <v>0</v>
      </c>
      <c r="CW139" s="15">
        <f t="shared" ref="CW139:CW203" si="156">CU139+CV139</f>
        <v>0</v>
      </c>
      <c r="CX139" s="15">
        <f>CG139+CN139+CU139</f>
        <v>0</v>
      </c>
      <c r="CY139" s="15" t="e">
        <f>SUM(CE139,#REF!,CS139)</f>
        <v>#REF!</v>
      </c>
      <c r="CZ139" s="1" t="e">
        <f t="shared" si="126"/>
        <v>#REF!</v>
      </c>
      <c r="DA139" s="84"/>
    </row>
    <row r="140" spans="1:105">
      <c r="A140" s="94"/>
      <c r="B140" s="14"/>
      <c r="H140" s="15">
        <f t="shared" si="153"/>
        <v>0</v>
      </c>
      <c r="I140" s="18">
        <f t="shared" si="149"/>
        <v>0</v>
      </c>
      <c r="J140" s="15">
        <f t="shared" si="150"/>
        <v>0</v>
      </c>
      <c r="O140" s="15">
        <f t="shared" si="116"/>
        <v>0</v>
      </c>
      <c r="P140" s="18">
        <f t="shared" si="151"/>
        <v>0</v>
      </c>
      <c r="Q140" s="15">
        <f t="shared" si="152"/>
        <v>0</v>
      </c>
      <c r="V140" s="15">
        <f t="shared" ref="V140:V203" si="157">COUNTIF(R140:U140,"PR")</f>
        <v>0</v>
      </c>
      <c r="W140" s="15">
        <f t="shared" ref="W140:W203" si="158">COUNTIF(R140:U140,"AB")</f>
        <v>0</v>
      </c>
      <c r="X140" s="15">
        <f t="shared" si="139"/>
        <v>0</v>
      </c>
      <c r="Y140" s="15">
        <f>J140+Q140+X140</f>
        <v>0</v>
      </c>
      <c r="Z140" s="15">
        <f>SUM(H140,O140,V140)</f>
        <v>0</v>
      </c>
      <c r="AA140" s="78" t="e">
        <f t="shared" si="123"/>
        <v>#DIV/0!</v>
      </c>
      <c r="AB140" s="82"/>
      <c r="AG140" s="15">
        <f t="shared" si="117"/>
        <v>0</v>
      </c>
      <c r="AH140" s="15">
        <f t="shared" si="127"/>
        <v>0</v>
      </c>
      <c r="AI140" s="15">
        <f t="shared" si="128"/>
        <v>0</v>
      </c>
      <c r="AO140" s="15">
        <f t="shared" si="118"/>
        <v>0</v>
      </c>
      <c r="AP140" s="15">
        <f t="shared" si="129"/>
        <v>0</v>
      </c>
      <c r="AQ140" s="15">
        <f t="shared" si="130"/>
        <v>0</v>
      </c>
      <c r="AV140" s="15">
        <f>COUNTIF(AR140:AU140,"PR")</f>
        <v>0</v>
      </c>
      <c r="AW140" s="15">
        <f t="shared" ref="AW140:AW203" si="159">COUNTIF(AR140:AU140,"AB")</f>
        <v>0</v>
      </c>
      <c r="AX140" s="15">
        <f t="shared" si="138"/>
        <v>0</v>
      </c>
      <c r="AY140" s="15">
        <f>AI140+AQ140+AX140</f>
        <v>0</v>
      </c>
      <c r="AZ140" s="15">
        <f>SUM(AG140,AO140,AV140)</f>
        <v>0</v>
      </c>
      <c r="BA140" s="78" t="e">
        <f t="shared" si="124"/>
        <v>#DIV/0!</v>
      </c>
      <c r="BD140" s="1"/>
      <c r="BF140" s="15">
        <f t="shared" si="119"/>
        <v>0</v>
      </c>
      <c r="BG140" s="15">
        <f t="shared" si="131"/>
        <v>0</v>
      </c>
      <c r="BH140" s="15">
        <f t="shared" si="132"/>
        <v>0</v>
      </c>
      <c r="BN140" s="15">
        <f t="shared" si="120"/>
        <v>0</v>
      </c>
      <c r="BO140" s="15">
        <f t="shared" ref="BO140:BO203" si="160">COUNTIF(BI140:BM140,"AB")</f>
        <v>0</v>
      </c>
      <c r="BP140" s="15">
        <f t="shared" si="133"/>
        <v>0</v>
      </c>
      <c r="BU140" s="15">
        <f t="shared" si="121"/>
        <v>0</v>
      </c>
      <c r="BV140" s="15">
        <f t="shared" si="134"/>
        <v>0</v>
      </c>
      <c r="BW140" s="15">
        <f t="shared" si="135"/>
        <v>0</v>
      </c>
      <c r="BX140" s="15">
        <f t="shared" ref="BX140:BX203" si="161">BH140+BP140+BW140</f>
        <v>0</v>
      </c>
      <c r="BY140" s="15">
        <f t="shared" ref="BY140:BY203" si="162">SUM(BF140,BN140,BU140)</f>
        <v>0</v>
      </c>
      <c r="BZ140" s="1" t="e">
        <f t="shared" si="154"/>
        <v>#DIV/0!</v>
      </c>
      <c r="CA140" s="82"/>
      <c r="CG140" s="15">
        <f>COUNTIF(CB140:CF140,"PR")</f>
        <v>0</v>
      </c>
      <c r="CH140" s="15">
        <f>COUNTIF(CB140:CF140,"AB")</f>
        <v>0</v>
      </c>
      <c r="CI140" s="15">
        <f t="shared" si="136"/>
        <v>0</v>
      </c>
      <c r="CN140" s="15">
        <f>COUNTIF(CJ140:CM140,"PR")</f>
        <v>0</v>
      </c>
      <c r="CO140" s="15">
        <f>COUNTIF(CJ140:CM140,"AB")</f>
        <v>0</v>
      </c>
      <c r="CP140" s="15">
        <f t="shared" si="137"/>
        <v>0</v>
      </c>
      <c r="CU140" s="15">
        <f t="shared" si="122"/>
        <v>0</v>
      </c>
      <c r="CV140" s="15">
        <f t="shared" si="155"/>
        <v>0</v>
      </c>
      <c r="CW140" s="15">
        <f t="shared" si="156"/>
        <v>0</v>
      </c>
      <c r="CX140" s="15">
        <f>CG140+CN140+CU140</f>
        <v>0</v>
      </c>
      <c r="CY140" s="15" t="e">
        <f>SUM(CE140,#REF!,CS140)</f>
        <v>#REF!</v>
      </c>
      <c r="CZ140" s="1" t="e">
        <f t="shared" si="126"/>
        <v>#REF!</v>
      </c>
      <c r="DA140" s="82"/>
    </row>
    <row r="141" spans="1:105">
      <c r="A141" s="94"/>
      <c r="B141" s="14"/>
      <c r="H141" s="15">
        <f t="shared" si="153"/>
        <v>0</v>
      </c>
      <c r="I141" s="18">
        <f t="shared" si="149"/>
        <v>0</v>
      </c>
      <c r="J141" s="15">
        <f t="shared" si="150"/>
        <v>0</v>
      </c>
      <c r="O141" s="15">
        <f t="shared" si="116"/>
        <v>0</v>
      </c>
      <c r="P141" s="18">
        <f t="shared" si="151"/>
        <v>0</v>
      </c>
      <c r="Q141" s="15">
        <f t="shared" si="152"/>
        <v>0</v>
      </c>
      <c r="V141" s="15">
        <f t="shared" si="157"/>
        <v>0</v>
      </c>
      <c r="W141" s="15">
        <f t="shared" si="158"/>
        <v>0</v>
      </c>
      <c r="X141" s="15">
        <f t="shared" si="139"/>
        <v>0</v>
      </c>
      <c r="Y141" s="15">
        <f>J141+Q141+X141</f>
        <v>0</v>
      </c>
      <c r="Z141" s="15">
        <f>SUM(H141,O141,V141)</f>
        <v>0</v>
      </c>
      <c r="AA141" s="78" t="e">
        <f t="shared" si="123"/>
        <v>#DIV/0!</v>
      </c>
      <c r="AB141" s="82"/>
      <c r="AG141" s="15">
        <f t="shared" si="117"/>
        <v>0</v>
      </c>
      <c r="AH141" s="15">
        <f t="shared" si="127"/>
        <v>0</v>
      </c>
      <c r="AI141" s="15">
        <f t="shared" si="128"/>
        <v>0</v>
      </c>
      <c r="AO141" s="15">
        <f t="shared" si="118"/>
        <v>0</v>
      </c>
      <c r="AP141" s="15">
        <f t="shared" si="129"/>
        <v>0</v>
      </c>
      <c r="AQ141" s="15">
        <f t="shared" si="130"/>
        <v>0</v>
      </c>
      <c r="AV141" s="15">
        <f>COUNTIF(AR141:AU141,"PR")</f>
        <v>0</v>
      </c>
      <c r="AW141" s="15">
        <f t="shared" si="159"/>
        <v>0</v>
      </c>
      <c r="AX141" s="15">
        <f t="shared" si="138"/>
        <v>0</v>
      </c>
      <c r="AY141" s="15">
        <f>AI141+AQ141+AX141</f>
        <v>0</v>
      </c>
      <c r="AZ141" s="15">
        <f>SUM(AG141,AO141,AV141)</f>
        <v>0</v>
      </c>
      <c r="BA141" s="78" t="e">
        <f t="shared" si="124"/>
        <v>#DIV/0!</v>
      </c>
      <c r="BD141" s="1"/>
      <c r="BF141" s="15">
        <f t="shared" si="119"/>
        <v>0</v>
      </c>
      <c r="BG141" s="15">
        <f t="shared" si="131"/>
        <v>0</v>
      </c>
      <c r="BH141" s="15">
        <f t="shared" si="132"/>
        <v>0</v>
      </c>
      <c r="BN141" s="15">
        <f t="shared" si="120"/>
        <v>0</v>
      </c>
      <c r="BO141" s="15">
        <f t="shared" si="160"/>
        <v>0</v>
      </c>
      <c r="BP141" s="15">
        <f t="shared" si="133"/>
        <v>0</v>
      </c>
      <c r="BU141" s="15">
        <f t="shared" si="121"/>
        <v>0</v>
      </c>
      <c r="BV141" s="15">
        <f t="shared" si="134"/>
        <v>0</v>
      </c>
      <c r="BW141" s="15">
        <f t="shared" si="135"/>
        <v>0</v>
      </c>
      <c r="BX141" s="15">
        <f t="shared" si="161"/>
        <v>0</v>
      </c>
      <c r="BY141" s="15">
        <f t="shared" si="162"/>
        <v>0</v>
      </c>
      <c r="BZ141" s="1" t="e">
        <f t="shared" si="154"/>
        <v>#DIV/0!</v>
      </c>
      <c r="CA141" s="82"/>
      <c r="CG141" s="15">
        <f>COUNTIF(CB141:CF141,"PR")</f>
        <v>0</v>
      </c>
      <c r="CH141" s="15">
        <f>COUNTIF(CB141:CF141,"AB")</f>
        <v>0</v>
      </c>
      <c r="CI141" s="15">
        <f t="shared" si="136"/>
        <v>0</v>
      </c>
      <c r="CN141" s="15">
        <f>COUNTIF(CJ141:CM141,"PR")</f>
        <v>0</v>
      </c>
      <c r="CO141" s="15">
        <f>COUNTIF(CJ141:CM141,"AB")</f>
        <v>0</v>
      </c>
      <c r="CP141" s="15">
        <f t="shared" si="137"/>
        <v>0</v>
      </c>
      <c r="CU141" s="15">
        <f t="shared" si="122"/>
        <v>0</v>
      </c>
      <c r="CV141" s="15">
        <f t="shared" si="155"/>
        <v>0</v>
      </c>
      <c r="CW141" s="15">
        <f t="shared" si="156"/>
        <v>0</v>
      </c>
      <c r="CX141" s="15">
        <f>CG141+CN141+CU141</f>
        <v>0</v>
      </c>
      <c r="CY141" s="15" t="e">
        <f>SUM(CE141,#REF!,CS141)</f>
        <v>#REF!</v>
      </c>
      <c r="CZ141" s="1" t="e">
        <f t="shared" si="126"/>
        <v>#REF!</v>
      </c>
      <c r="DA141" s="82"/>
    </row>
    <row r="142" spans="1:105">
      <c r="A142" s="94"/>
      <c r="B142" s="14"/>
      <c r="H142" s="15">
        <f t="shared" si="153"/>
        <v>0</v>
      </c>
      <c r="I142" s="18">
        <f t="shared" si="149"/>
        <v>0</v>
      </c>
      <c r="J142" s="15">
        <f t="shared" si="150"/>
        <v>0</v>
      </c>
      <c r="O142" s="15">
        <f t="shared" si="116"/>
        <v>0</v>
      </c>
      <c r="P142" s="18">
        <f t="shared" si="151"/>
        <v>0</v>
      </c>
      <c r="Q142" s="15">
        <f t="shared" si="152"/>
        <v>0</v>
      </c>
      <c r="V142" s="15">
        <f t="shared" si="157"/>
        <v>0</v>
      </c>
      <c r="W142" s="15">
        <f t="shared" si="158"/>
        <v>0</v>
      </c>
      <c r="X142" s="15">
        <f t="shared" si="139"/>
        <v>0</v>
      </c>
      <c r="Y142" s="15">
        <f>J142+Q142+X142</f>
        <v>0</v>
      </c>
      <c r="Z142" s="15">
        <f>SUM(H142,O142,V142)</f>
        <v>0</v>
      </c>
      <c r="AA142" s="78" t="e">
        <f t="shared" si="123"/>
        <v>#DIV/0!</v>
      </c>
      <c r="AB142" s="82"/>
      <c r="AG142" s="15">
        <f t="shared" si="117"/>
        <v>0</v>
      </c>
      <c r="AH142" s="15">
        <f t="shared" si="127"/>
        <v>0</v>
      </c>
      <c r="AI142" s="15">
        <f t="shared" si="128"/>
        <v>0</v>
      </c>
      <c r="AO142" s="15">
        <f t="shared" si="118"/>
        <v>0</v>
      </c>
      <c r="AP142" s="15">
        <f t="shared" si="129"/>
        <v>0</v>
      </c>
      <c r="AQ142" s="15">
        <f t="shared" si="130"/>
        <v>0</v>
      </c>
      <c r="AV142" s="15">
        <f>COUNTIF(AR142:AU142,"PR")</f>
        <v>0</v>
      </c>
      <c r="AW142" s="15">
        <f t="shared" si="159"/>
        <v>0</v>
      </c>
      <c r="AX142" s="15">
        <f t="shared" si="138"/>
        <v>0</v>
      </c>
      <c r="AY142" s="15">
        <f>AI142+AQ142+AX142</f>
        <v>0</v>
      </c>
      <c r="AZ142" s="15">
        <f>SUM(AG142,AO142,AV142)</f>
        <v>0</v>
      </c>
      <c r="BA142" s="78" t="e">
        <f t="shared" si="124"/>
        <v>#DIV/0!</v>
      </c>
      <c r="BD142" s="1"/>
      <c r="BF142" s="15">
        <f t="shared" si="119"/>
        <v>0</v>
      </c>
      <c r="BG142" s="15">
        <f t="shared" si="131"/>
        <v>0</v>
      </c>
      <c r="BH142" s="15">
        <f t="shared" si="132"/>
        <v>0</v>
      </c>
      <c r="BN142" s="15">
        <f t="shared" si="120"/>
        <v>0</v>
      </c>
      <c r="BO142" s="15">
        <f t="shared" si="160"/>
        <v>0</v>
      </c>
      <c r="BP142" s="15">
        <f t="shared" si="133"/>
        <v>0</v>
      </c>
      <c r="BU142" s="15">
        <f t="shared" si="121"/>
        <v>0</v>
      </c>
      <c r="BV142" s="15">
        <f t="shared" si="134"/>
        <v>0</v>
      </c>
      <c r="BW142" s="15">
        <f t="shared" si="135"/>
        <v>0</v>
      </c>
      <c r="BX142" s="15">
        <f t="shared" si="161"/>
        <v>0</v>
      </c>
      <c r="BY142" s="15">
        <f t="shared" si="162"/>
        <v>0</v>
      </c>
      <c r="BZ142" s="1" t="e">
        <f t="shared" si="154"/>
        <v>#DIV/0!</v>
      </c>
      <c r="CA142" s="82"/>
      <c r="CG142" s="15">
        <f>COUNTIF(CB142:CF142,"PR")</f>
        <v>0</v>
      </c>
      <c r="CH142" s="15">
        <f>COUNTIF(CB142:CF142,"AB")</f>
        <v>0</v>
      </c>
      <c r="CI142" s="15">
        <f t="shared" si="136"/>
        <v>0</v>
      </c>
      <c r="CN142" s="15">
        <f>COUNTIF(CJ142:CM142,"PR")</f>
        <v>0</v>
      </c>
      <c r="CO142" s="15">
        <f>COUNTIF(CJ142:CM142,"AB")</f>
        <v>0</v>
      </c>
      <c r="CP142" s="15">
        <f t="shared" si="137"/>
        <v>0</v>
      </c>
      <c r="CU142" s="15">
        <f t="shared" si="122"/>
        <v>0</v>
      </c>
      <c r="CV142" s="15">
        <f t="shared" si="155"/>
        <v>0</v>
      </c>
      <c r="CW142" s="15">
        <f t="shared" si="156"/>
        <v>0</v>
      </c>
      <c r="CX142" s="15">
        <f>CG142+CN142+CU142</f>
        <v>0</v>
      </c>
      <c r="CY142" s="15" t="e">
        <f>SUM(CE142,#REF!,CS142)</f>
        <v>#REF!</v>
      </c>
      <c r="CZ142" s="1" t="e">
        <f t="shared" si="126"/>
        <v>#REF!</v>
      </c>
      <c r="DA142" s="82"/>
    </row>
    <row r="143" spans="1:105">
      <c r="A143" s="94"/>
      <c r="B143" s="14"/>
      <c r="H143" s="15">
        <f t="shared" si="153"/>
        <v>0</v>
      </c>
      <c r="I143" s="18">
        <f t="shared" si="149"/>
        <v>0</v>
      </c>
      <c r="J143" s="15">
        <f t="shared" si="150"/>
        <v>0</v>
      </c>
      <c r="O143" s="15">
        <f t="shared" si="116"/>
        <v>0</v>
      </c>
      <c r="P143" s="18">
        <f t="shared" si="151"/>
        <v>0</v>
      </c>
      <c r="Q143" s="15">
        <f t="shared" si="152"/>
        <v>0</v>
      </c>
      <c r="V143" s="15">
        <f t="shared" si="157"/>
        <v>0</v>
      </c>
      <c r="W143" s="15">
        <f t="shared" si="158"/>
        <v>0</v>
      </c>
      <c r="X143" s="15">
        <f t="shared" si="139"/>
        <v>0</v>
      </c>
      <c r="Y143" s="15">
        <f>J143+Q143+X143</f>
        <v>0</v>
      </c>
      <c r="Z143" s="15">
        <f>SUM(H143,O143,V143)</f>
        <v>0</v>
      </c>
      <c r="AA143" s="78" t="e">
        <f t="shared" si="123"/>
        <v>#DIV/0!</v>
      </c>
      <c r="AB143" s="82"/>
      <c r="AG143" s="15">
        <f t="shared" si="117"/>
        <v>0</v>
      </c>
      <c r="AH143" s="15">
        <f t="shared" si="127"/>
        <v>0</v>
      </c>
      <c r="AI143" s="15">
        <f t="shared" si="128"/>
        <v>0</v>
      </c>
      <c r="AO143" s="15">
        <f t="shared" si="118"/>
        <v>0</v>
      </c>
      <c r="AP143" s="15">
        <f t="shared" si="129"/>
        <v>0</v>
      </c>
      <c r="AQ143" s="15">
        <f t="shared" si="130"/>
        <v>0</v>
      </c>
      <c r="AV143" s="15">
        <f>COUNTIF(AR143:AU143,"PR")</f>
        <v>0</v>
      </c>
      <c r="AW143" s="15">
        <f t="shared" si="159"/>
        <v>0</v>
      </c>
      <c r="AX143" s="15">
        <f t="shared" si="138"/>
        <v>0</v>
      </c>
      <c r="AY143" s="15">
        <f>AI143+AQ143+AX143</f>
        <v>0</v>
      </c>
      <c r="AZ143" s="15">
        <f>SUM(AG143,AO143,AV143)</f>
        <v>0</v>
      </c>
      <c r="BA143" s="78" t="e">
        <f t="shared" si="124"/>
        <v>#DIV/0!</v>
      </c>
      <c r="BD143" s="1"/>
      <c r="BF143" s="15">
        <f t="shared" si="119"/>
        <v>0</v>
      </c>
      <c r="BG143" s="15">
        <f t="shared" si="131"/>
        <v>0</v>
      </c>
      <c r="BH143" s="15">
        <f t="shared" si="132"/>
        <v>0</v>
      </c>
      <c r="BN143" s="15">
        <f t="shared" si="120"/>
        <v>0</v>
      </c>
      <c r="BO143" s="15">
        <f t="shared" si="160"/>
        <v>0</v>
      </c>
      <c r="BP143" s="15">
        <f t="shared" si="133"/>
        <v>0</v>
      </c>
      <c r="BU143" s="15">
        <f t="shared" si="121"/>
        <v>0</v>
      </c>
      <c r="BV143" s="15">
        <f t="shared" si="134"/>
        <v>0</v>
      </c>
      <c r="BW143" s="15">
        <f t="shared" si="135"/>
        <v>0</v>
      </c>
      <c r="BX143" s="15">
        <f t="shared" si="161"/>
        <v>0</v>
      </c>
      <c r="BY143" s="15">
        <f t="shared" si="162"/>
        <v>0</v>
      </c>
      <c r="BZ143" s="1" t="e">
        <f t="shared" si="154"/>
        <v>#DIV/0!</v>
      </c>
      <c r="CA143" s="82"/>
      <c r="CG143" s="15">
        <f>COUNTIF(CB143:CF143,"PR")</f>
        <v>0</v>
      </c>
      <c r="CH143" s="15">
        <f>COUNTIF(CB143:CF143,"AB")</f>
        <v>0</v>
      </c>
      <c r="CI143" s="15">
        <f t="shared" si="136"/>
        <v>0</v>
      </c>
      <c r="CN143" s="15">
        <f>COUNTIF(CJ143:CM143,"PR")</f>
        <v>0</v>
      </c>
      <c r="CO143" s="15">
        <f>COUNTIF(CJ143:CM143,"AB")</f>
        <v>0</v>
      </c>
      <c r="CP143" s="15">
        <f t="shared" si="137"/>
        <v>0</v>
      </c>
      <c r="CU143" s="15">
        <f t="shared" si="122"/>
        <v>0</v>
      </c>
      <c r="CV143" s="15">
        <f t="shared" si="155"/>
        <v>0</v>
      </c>
      <c r="CW143" s="15">
        <f t="shared" si="156"/>
        <v>0</v>
      </c>
      <c r="CX143" s="15">
        <f>CG143+CN143+CU143</f>
        <v>0</v>
      </c>
      <c r="CY143" s="15" t="e">
        <f>SUM(CE143,#REF!,CS143)</f>
        <v>#REF!</v>
      </c>
      <c r="CZ143" s="1" t="e">
        <f t="shared" si="126"/>
        <v>#REF!</v>
      </c>
      <c r="DA143" s="82"/>
    </row>
    <row r="144" spans="1:105">
      <c r="A144" s="94"/>
      <c r="B144" s="14"/>
      <c r="H144" s="15">
        <f t="shared" si="153"/>
        <v>0</v>
      </c>
      <c r="I144" s="18">
        <f t="shared" si="149"/>
        <v>0</v>
      </c>
      <c r="J144" s="15">
        <f t="shared" si="150"/>
        <v>0</v>
      </c>
      <c r="O144" s="15">
        <f t="shared" ref="O144:O207" si="163">COUNTIF(K144:N144,"PR")</f>
        <v>0</v>
      </c>
      <c r="P144" s="18">
        <f t="shared" si="151"/>
        <v>0</v>
      </c>
      <c r="Q144" s="15">
        <f t="shared" si="152"/>
        <v>0</v>
      </c>
      <c r="V144" s="15">
        <f t="shared" si="157"/>
        <v>0</v>
      </c>
      <c r="W144" s="15">
        <f t="shared" si="158"/>
        <v>0</v>
      </c>
      <c r="X144" s="15">
        <f t="shared" si="139"/>
        <v>0</v>
      </c>
      <c r="Y144" s="15">
        <f>J144+Q144+X144</f>
        <v>0</v>
      </c>
      <c r="Z144" s="15">
        <f>SUM(H144,O144,V144)</f>
        <v>0</v>
      </c>
      <c r="AA144" s="78" t="e">
        <f t="shared" si="123"/>
        <v>#DIV/0!</v>
      </c>
      <c r="AB144" s="82"/>
      <c r="AG144" s="15">
        <f t="shared" ref="AG144:AG207" si="164">COUNTIF(AC144:AF144,"PR")</f>
        <v>0</v>
      </c>
      <c r="AH144" s="15">
        <f t="shared" si="127"/>
        <v>0</v>
      </c>
      <c r="AI144" s="15">
        <f t="shared" si="128"/>
        <v>0</v>
      </c>
      <c r="AO144" s="15">
        <f t="shared" ref="AO144:AO207" si="165">COUNTIF(AJ144:AN144,"PR")</f>
        <v>0</v>
      </c>
      <c r="AP144" s="15">
        <f t="shared" si="129"/>
        <v>0</v>
      </c>
      <c r="AQ144" s="15">
        <f t="shared" si="130"/>
        <v>0</v>
      </c>
      <c r="AV144" s="15">
        <f>COUNTIF(AR144:AU144,"PR")</f>
        <v>0</v>
      </c>
      <c r="AW144" s="15">
        <f t="shared" si="159"/>
        <v>0</v>
      </c>
      <c r="AX144" s="15">
        <f t="shared" si="138"/>
        <v>0</v>
      </c>
      <c r="AY144" s="15">
        <f>AI144+AQ144+AX144</f>
        <v>0</v>
      </c>
      <c r="AZ144" s="15">
        <f>SUM(AG144,AO144,AV144)</f>
        <v>0</v>
      </c>
      <c r="BA144" s="78" t="e">
        <f t="shared" si="124"/>
        <v>#DIV/0!</v>
      </c>
      <c r="BD144" s="1"/>
      <c r="BF144" s="15">
        <f t="shared" ref="BF144:BF207" si="166">COUNTIF(BB144:BE144,"PR")</f>
        <v>0</v>
      </c>
      <c r="BG144" s="15">
        <f t="shared" si="131"/>
        <v>0</v>
      </c>
      <c r="BH144" s="15">
        <f t="shared" si="132"/>
        <v>0</v>
      </c>
      <c r="BN144" s="15">
        <f t="shared" ref="BN144:BN207" si="167">COUNTIF(BI144:BM144,"PR")</f>
        <v>0</v>
      </c>
      <c r="BO144" s="15">
        <f t="shared" si="160"/>
        <v>0</v>
      </c>
      <c r="BP144" s="15">
        <f t="shared" si="133"/>
        <v>0</v>
      </c>
      <c r="BU144" s="15">
        <f t="shared" ref="BU144:BU207" si="168">COUNTIF(BQ144:BT144,"PR")</f>
        <v>0</v>
      </c>
      <c r="BV144" s="15">
        <f t="shared" si="134"/>
        <v>0</v>
      </c>
      <c r="BW144" s="15">
        <f t="shared" si="135"/>
        <v>0</v>
      </c>
      <c r="BX144" s="15">
        <f t="shared" si="161"/>
        <v>0</v>
      </c>
      <c r="BY144" s="15">
        <f t="shared" si="162"/>
        <v>0</v>
      </c>
      <c r="BZ144" s="1" t="e">
        <f t="shared" si="154"/>
        <v>#DIV/0!</v>
      </c>
      <c r="CA144" s="82"/>
      <c r="CG144" s="15">
        <f>COUNTIF(CB144:CF144,"PR")</f>
        <v>0</v>
      </c>
      <c r="CH144" s="15">
        <f>COUNTIF(CB144:CF144,"AB")</f>
        <v>0</v>
      </c>
      <c r="CI144" s="15">
        <f t="shared" si="136"/>
        <v>0</v>
      </c>
      <c r="CN144" s="15">
        <f>COUNTIF(CJ144:CM144,"PR")</f>
        <v>0</v>
      </c>
      <c r="CO144" s="15">
        <f>COUNTIF(CJ144:CM144,"AB")</f>
        <v>0</v>
      </c>
      <c r="CP144" s="15">
        <f t="shared" si="137"/>
        <v>0</v>
      </c>
      <c r="CU144" s="15">
        <f t="shared" ref="CU144:CU207" si="169">COUNTIF(CQ144:CT144,"PR")</f>
        <v>0</v>
      </c>
      <c r="CV144" s="15">
        <f t="shared" si="155"/>
        <v>0</v>
      </c>
      <c r="CW144" s="15">
        <f t="shared" si="156"/>
        <v>0</v>
      </c>
      <c r="CX144" s="15">
        <f>CG144+CN144+CU144</f>
        <v>0</v>
      </c>
      <c r="CY144" s="15" t="e">
        <f>SUM(CE144,#REF!,CS144)</f>
        <v>#REF!</v>
      </c>
      <c r="CZ144" s="1" t="e">
        <f t="shared" si="126"/>
        <v>#REF!</v>
      </c>
      <c r="DA144" s="82"/>
    </row>
    <row r="145" spans="1:105">
      <c r="A145" s="94"/>
      <c r="B145" s="14"/>
      <c r="H145" s="15">
        <f t="shared" si="153"/>
        <v>0</v>
      </c>
      <c r="I145" s="18">
        <f t="shared" si="149"/>
        <v>0</v>
      </c>
      <c r="J145" s="15">
        <f t="shared" si="150"/>
        <v>0</v>
      </c>
      <c r="O145" s="15">
        <f t="shared" si="163"/>
        <v>0</v>
      </c>
      <c r="P145" s="18">
        <f t="shared" si="151"/>
        <v>0</v>
      </c>
      <c r="Q145" s="15">
        <f t="shared" si="152"/>
        <v>0</v>
      </c>
      <c r="V145" s="15">
        <f t="shared" si="157"/>
        <v>0</v>
      </c>
      <c r="W145" s="15">
        <f t="shared" si="158"/>
        <v>0</v>
      </c>
      <c r="X145" s="15">
        <f t="shared" si="139"/>
        <v>0</v>
      </c>
      <c r="Y145" s="15">
        <f>J145+Q145+X145</f>
        <v>0</v>
      </c>
      <c r="Z145" s="15">
        <f>SUM(H145,O145,V145)</f>
        <v>0</v>
      </c>
      <c r="AA145" s="78" t="e">
        <f t="shared" ref="AA145:AA208" si="170">Z145/Y145*100</f>
        <v>#DIV/0!</v>
      </c>
      <c r="AB145" s="82"/>
      <c r="AG145" s="15">
        <f t="shared" si="164"/>
        <v>0</v>
      </c>
      <c r="AH145" s="15">
        <f t="shared" si="127"/>
        <v>0</v>
      </c>
      <c r="AI145" s="15">
        <f t="shared" si="128"/>
        <v>0</v>
      </c>
      <c r="AO145" s="15">
        <f t="shared" si="165"/>
        <v>0</v>
      </c>
      <c r="AP145" s="15">
        <f t="shared" si="129"/>
        <v>0</v>
      </c>
      <c r="AQ145" s="15">
        <f t="shared" si="130"/>
        <v>0</v>
      </c>
      <c r="AV145" s="15">
        <f>COUNTIF(AR145:AU145,"PR")</f>
        <v>0</v>
      </c>
      <c r="AW145" s="15">
        <f t="shared" si="159"/>
        <v>0</v>
      </c>
      <c r="AX145" s="15">
        <f t="shared" si="138"/>
        <v>0</v>
      </c>
      <c r="AY145" s="15">
        <f>AI145+AQ145+AX145</f>
        <v>0</v>
      </c>
      <c r="AZ145" s="15">
        <f>SUM(AG145,AO145,AV145)</f>
        <v>0</v>
      </c>
      <c r="BA145" s="78" t="e">
        <f t="shared" ref="BA145:BA208" si="171">AZ145/AY145*100</f>
        <v>#DIV/0!</v>
      </c>
      <c r="BD145" s="1"/>
      <c r="BF145" s="15">
        <f t="shared" si="166"/>
        <v>0</v>
      </c>
      <c r="BG145" s="15">
        <f t="shared" si="131"/>
        <v>0</v>
      </c>
      <c r="BH145" s="15">
        <f t="shared" si="132"/>
        <v>0</v>
      </c>
      <c r="BN145" s="15">
        <f t="shared" si="167"/>
        <v>0</v>
      </c>
      <c r="BO145" s="15">
        <f t="shared" si="160"/>
        <v>0</v>
      </c>
      <c r="BP145" s="15">
        <f t="shared" si="133"/>
        <v>0</v>
      </c>
      <c r="BU145" s="15">
        <f t="shared" si="168"/>
        <v>0</v>
      </c>
      <c r="BV145" s="15">
        <f t="shared" si="134"/>
        <v>0</v>
      </c>
      <c r="BW145" s="15">
        <f t="shared" si="135"/>
        <v>0</v>
      </c>
      <c r="BX145" s="15">
        <f t="shared" si="161"/>
        <v>0</v>
      </c>
      <c r="BY145" s="15">
        <f t="shared" si="162"/>
        <v>0</v>
      </c>
      <c r="BZ145" s="1" t="e">
        <f t="shared" ref="BZ145:BZ208" si="172">BY145/BX145*100</f>
        <v>#DIV/0!</v>
      </c>
      <c r="CA145" s="82"/>
      <c r="CG145" s="15">
        <f>COUNTIF(CB145:CF145,"PR")</f>
        <v>0</v>
      </c>
      <c r="CH145" s="15">
        <f>COUNTIF(CB145:CF145,"AB")</f>
        <v>0</v>
      </c>
      <c r="CI145" s="15">
        <f t="shared" si="136"/>
        <v>0</v>
      </c>
      <c r="CN145" s="15">
        <f>COUNTIF(CJ145:CM145,"PR")</f>
        <v>0</v>
      </c>
      <c r="CO145" s="15">
        <f>COUNTIF(CJ145:CM145,"AB")</f>
        <v>0</v>
      </c>
      <c r="CP145" s="15">
        <f t="shared" si="137"/>
        <v>0</v>
      </c>
      <c r="CU145" s="15">
        <f t="shared" si="169"/>
        <v>0</v>
      </c>
      <c r="CV145" s="15">
        <f t="shared" si="155"/>
        <v>0</v>
      </c>
      <c r="CW145" s="15">
        <f t="shared" si="156"/>
        <v>0</v>
      </c>
      <c r="CX145" s="15">
        <f>CG145+CN145+CU145</f>
        <v>0</v>
      </c>
      <c r="CY145" s="15" t="e">
        <f>SUM(CE145,#REF!,CS145)</f>
        <v>#REF!</v>
      </c>
      <c r="CZ145" s="1" t="e">
        <f t="shared" ref="CZ145:CZ208" si="173">CY145/CX145*100</f>
        <v>#REF!</v>
      </c>
      <c r="DA145" s="82"/>
    </row>
    <row r="146" spans="1:105">
      <c r="A146" s="94"/>
      <c r="B146" s="14"/>
      <c r="H146" s="15">
        <f t="shared" si="153"/>
        <v>0</v>
      </c>
      <c r="I146" s="18">
        <f t="shared" si="149"/>
        <v>0</v>
      </c>
      <c r="J146" s="15">
        <f t="shared" si="150"/>
        <v>0</v>
      </c>
      <c r="O146" s="15">
        <f t="shared" si="163"/>
        <v>0</v>
      </c>
      <c r="P146" s="18">
        <f t="shared" si="151"/>
        <v>0</v>
      </c>
      <c r="Q146" s="15">
        <f t="shared" si="152"/>
        <v>0</v>
      </c>
      <c r="V146" s="15">
        <f t="shared" si="157"/>
        <v>0</v>
      </c>
      <c r="W146" s="15">
        <f t="shared" si="158"/>
        <v>0</v>
      </c>
      <c r="X146" s="15">
        <f t="shared" si="139"/>
        <v>0</v>
      </c>
      <c r="Y146" s="15">
        <f>J146+Q146+X146</f>
        <v>0</v>
      </c>
      <c r="Z146" s="15">
        <f>SUM(H146,O146,V146)</f>
        <v>0</v>
      </c>
      <c r="AA146" s="78" t="e">
        <f t="shared" si="170"/>
        <v>#DIV/0!</v>
      </c>
      <c r="AB146" s="82"/>
      <c r="AG146" s="15">
        <f t="shared" si="164"/>
        <v>0</v>
      </c>
      <c r="AH146" s="15">
        <f t="shared" si="127"/>
        <v>0</v>
      </c>
      <c r="AI146" s="15">
        <f t="shared" si="128"/>
        <v>0</v>
      </c>
      <c r="AO146" s="15">
        <f t="shared" si="165"/>
        <v>0</v>
      </c>
      <c r="AP146" s="15">
        <f t="shared" si="129"/>
        <v>0</v>
      </c>
      <c r="AQ146" s="15">
        <f t="shared" si="130"/>
        <v>0</v>
      </c>
      <c r="AV146" s="15">
        <f>COUNTIF(AR146:AU146,"PR")</f>
        <v>0</v>
      </c>
      <c r="AW146" s="15">
        <f t="shared" si="159"/>
        <v>0</v>
      </c>
      <c r="AX146" s="15">
        <f t="shared" si="138"/>
        <v>0</v>
      </c>
      <c r="AY146" s="15">
        <f>AI146+AQ146+AX146</f>
        <v>0</v>
      </c>
      <c r="AZ146" s="15">
        <f>SUM(AG146,AO146,AV146)</f>
        <v>0</v>
      </c>
      <c r="BA146" s="78" t="e">
        <f t="shared" si="171"/>
        <v>#DIV/0!</v>
      </c>
      <c r="BD146" s="1"/>
      <c r="BF146" s="15">
        <f t="shared" si="166"/>
        <v>0</v>
      </c>
      <c r="BG146" s="15">
        <f t="shared" si="131"/>
        <v>0</v>
      </c>
      <c r="BH146" s="15">
        <f t="shared" si="132"/>
        <v>0</v>
      </c>
      <c r="BN146" s="15">
        <f t="shared" si="167"/>
        <v>0</v>
      </c>
      <c r="BO146" s="15">
        <f t="shared" si="160"/>
        <v>0</v>
      </c>
      <c r="BP146" s="15">
        <f t="shared" si="133"/>
        <v>0</v>
      </c>
      <c r="BU146" s="15">
        <f t="shared" si="168"/>
        <v>0</v>
      </c>
      <c r="BV146" s="15">
        <f t="shared" si="134"/>
        <v>0</v>
      </c>
      <c r="BW146" s="15">
        <f t="shared" si="135"/>
        <v>0</v>
      </c>
      <c r="BX146" s="15">
        <f t="shared" si="161"/>
        <v>0</v>
      </c>
      <c r="BY146" s="15">
        <f t="shared" si="162"/>
        <v>0</v>
      </c>
      <c r="BZ146" s="1" t="e">
        <f t="shared" si="172"/>
        <v>#DIV/0!</v>
      </c>
      <c r="CA146" s="82"/>
      <c r="CG146" s="15">
        <f>COUNTIF(CB146:CF146,"PR")</f>
        <v>0</v>
      </c>
      <c r="CH146" s="15">
        <f>COUNTIF(CB146:CF146,"AB")</f>
        <v>0</v>
      </c>
      <c r="CI146" s="15">
        <f t="shared" si="136"/>
        <v>0</v>
      </c>
      <c r="CN146" s="15">
        <f>COUNTIF(CJ146:CM146,"PR")</f>
        <v>0</v>
      </c>
      <c r="CO146" s="15">
        <f>COUNTIF(CJ146:CM146,"AB")</f>
        <v>0</v>
      </c>
      <c r="CP146" s="15">
        <f t="shared" si="137"/>
        <v>0</v>
      </c>
      <c r="CU146" s="15">
        <f t="shared" si="169"/>
        <v>0</v>
      </c>
      <c r="CV146" s="15">
        <f t="shared" si="155"/>
        <v>0</v>
      </c>
      <c r="CW146" s="15">
        <f t="shared" si="156"/>
        <v>0</v>
      </c>
      <c r="CX146" s="15">
        <f>CG146+CN146+CU146</f>
        <v>0</v>
      </c>
      <c r="CY146" s="15" t="e">
        <f>SUM(CE146,#REF!,CS146)</f>
        <v>#REF!</v>
      </c>
      <c r="CZ146" s="1" t="e">
        <f t="shared" si="173"/>
        <v>#REF!</v>
      </c>
      <c r="DA146" s="82"/>
    </row>
    <row r="147" spans="1:105">
      <c r="A147" s="94"/>
      <c r="B147" s="14"/>
      <c r="H147" s="15">
        <f t="shared" si="153"/>
        <v>0</v>
      </c>
      <c r="I147" s="18">
        <f t="shared" si="149"/>
        <v>0</v>
      </c>
      <c r="J147" s="15">
        <f t="shared" si="150"/>
        <v>0</v>
      </c>
      <c r="O147" s="15">
        <f t="shared" si="163"/>
        <v>0</v>
      </c>
      <c r="P147" s="18">
        <f t="shared" si="151"/>
        <v>0</v>
      </c>
      <c r="Q147" s="15">
        <f t="shared" si="152"/>
        <v>0</v>
      </c>
      <c r="V147" s="15">
        <f t="shared" si="157"/>
        <v>0</v>
      </c>
      <c r="W147" s="15">
        <f t="shared" si="158"/>
        <v>0</v>
      </c>
      <c r="X147" s="15">
        <f t="shared" si="139"/>
        <v>0</v>
      </c>
      <c r="Y147" s="15">
        <f>J147+Q147+X147</f>
        <v>0</v>
      </c>
      <c r="Z147" s="15">
        <f>SUM(H147,O147,V147)</f>
        <v>0</v>
      </c>
      <c r="AA147" s="78" t="e">
        <f t="shared" si="170"/>
        <v>#DIV/0!</v>
      </c>
      <c r="AB147" s="82"/>
      <c r="AG147" s="15">
        <f t="shared" si="164"/>
        <v>0</v>
      </c>
      <c r="AH147" s="15">
        <f t="shared" si="127"/>
        <v>0</v>
      </c>
      <c r="AI147" s="15">
        <f t="shared" si="128"/>
        <v>0</v>
      </c>
      <c r="AO147" s="15">
        <f t="shared" si="165"/>
        <v>0</v>
      </c>
      <c r="AP147" s="15">
        <f t="shared" si="129"/>
        <v>0</v>
      </c>
      <c r="AQ147" s="15">
        <f t="shared" si="130"/>
        <v>0</v>
      </c>
      <c r="AV147" s="15">
        <f>COUNTIF(AR147:AU147,"PR")</f>
        <v>0</v>
      </c>
      <c r="AW147" s="15">
        <f t="shared" si="159"/>
        <v>0</v>
      </c>
      <c r="AX147" s="15">
        <f t="shared" si="138"/>
        <v>0</v>
      </c>
      <c r="AY147" s="15">
        <f>AI147+AQ147+AX147</f>
        <v>0</v>
      </c>
      <c r="AZ147" s="15">
        <f>SUM(AG147,AO147,AV147)</f>
        <v>0</v>
      </c>
      <c r="BA147" s="78" t="e">
        <f t="shared" si="171"/>
        <v>#DIV/0!</v>
      </c>
      <c r="BD147" s="1"/>
      <c r="BF147" s="15">
        <f t="shared" si="166"/>
        <v>0</v>
      </c>
      <c r="BG147" s="15">
        <f t="shared" si="131"/>
        <v>0</v>
      </c>
      <c r="BH147" s="15">
        <f t="shared" si="132"/>
        <v>0</v>
      </c>
      <c r="BN147" s="15">
        <f t="shared" si="167"/>
        <v>0</v>
      </c>
      <c r="BO147" s="15">
        <f t="shared" si="160"/>
        <v>0</v>
      </c>
      <c r="BP147" s="15">
        <f t="shared" si="133"/>
        <v>0</v>
      </c>
      <c r="BU147" s="15">
        <f t="shared" si="168"/>
        <v>0</v>
      </c>
      <c r="BV147" s="15">
        <f t="shared" si="134"/>
        <v>0</v>
      </c>
      <c r="BW147" s="15">
        <f t="shared" si="135"/>
        <v>0</v>
      </c>
      <c r="BX147" s="15">
        <f t="shared" si="161"/>
        <v>0</v>
      </c>
      <c r="BY147" s="15">
        <f t="shared" si="162"/>
        <v>0</v>
      </c>
      <c r="BZ147" s="1" t="e">
        <f t="shared" si="172"/>
        <v>#DIV/0!</v>
      </c>
      <c r="CA147" s="82"/>
      <c r="CG147" s="15">
        <f>COUNTIF(CB147:CF147,"PR")</f>
        <v>0</v>
      </c>
      <c r="CH147" s="15">
        <f>COUNTIF(CB147:CF147,"AB")</f>
        <v>0</v>
      </c>
      <c r="CI147" s="15">
        <f t="shared" si="136"/>
        <v>0</v>
      </c>
      <c r="CN147" s="15">
        <f>COUNTIF(CJ147:CM147,"PR")</f>
        <v>0</v>
      </c>
      <c r="CO147" s="15">
        <f>COUNTIF(CJ147:CM147,"AB")</f>
        <v>0</v>
      </c>
      <c r="CP147" s="15">
        <f t="shared" si="137"/>
        <v>0</v>
      </c>
      <c r="CU147" s="15">
        <f t="shared" si="169"/>
        <v>0</v>
      </c>
      <c r="CV147" s="15">
        <f t="shared" si="155"/>
        <v>0</v>
      </c>
      <c r="CW147" s="15">
        <f t="shared" si="156"/>
        <v>0</v>
      </c>
      <c r="CX147" s="15">
        <f>CG147+CN147+CU147</f>
        <v>0</v>
      </c>
      <c r="CY147" s="15" t="e">
        <f>SUM(CE147,#REF!,CS147)</f>
        <v>#REF!</v>
      </c>
      <c r="CZ147" s="1" t="e">
        <f t="shared" si="173"/>
        <v>#REF!</v>
      </c>
      <c r="DA147" s="82"/>
    </row>
    <row r="148" spans="1:105">
      <c r="A148" s="94"/>
      <c r="B148" s="14"/>
      <c r="H148" s="15">
        <f t="shared" si="153"/>
        <v>0</v>
      </c>
      <c r="I148" s="18">
        <f t="shared" si="149"/>
        <v>0</v>
      </c>
      <c r="J148" s="15">
        <f t="shared" si="150"/>
        <v>0</v>
      </c>
      <c r="O148" s="15">
        <f t="shared" si="163"/>
        <v>0</v>
      </c>
      <c r="P148" s="18">
        <f t="shared" si="151"/>
        <v>0</v>
      </c>
      <c r="Q148" s="15">
        <f t="shared" si="152"/>
        <v>0</v>
      </c>
      <c r="V148" s="15">
        <f t="shared" si="157"/>
        <v>0</v>
      </c>
      <c r="W148" s="15">
        <f t="shared" si="158"/>
        <v>0</v>
      </c>
      <c r="X148" s="15">
        <f t="shared" si="139"/>
        <v>0</v>
      </c>
      <c r="Y148" s="15">
        <f>J148+Q148+X148</f>
        <v>0</v>
      </c>
      <c r="Z148" s="15">
        <f>SUM(H148,O148,V148)</f>
        <v>0</v>
      </c>
      <c r="AA148" s="78" t="e">
        <f t="shared" si="170"/>
        <v>#DIV/0!</v>
      </c>
      <c r="AB148" s="82"/>
      <c r="AG148" s="15">
        <f t="shared" si="164"/>
        <v>0</v>
      </c>
      <c r="AH148" s="15">
        <f t="shared" si="127"/>
        <v>0</v>
      </c>
      <c r="AI148" s="15">
        <f t="shared" si="128"/>
        <v>0</v>
      </c>
      <c r="AO148" s="15">
        <f t="shared" si="165"/>
        <v>0</v>
      </c>
      <c r="AP148" s="15">
        <f t="shared" si="129"/>
        <v>0</v>
      </c>
      <c r="AQ148" s="15">
        <f t="shared" si="130"/>
        <v>0</v>
      </c>
      <c r="AV148" s="15">
        <f>COUNTIF(AR148:AU148,"PR")</f>
        <v>0</v>
      </c>
      <c r="AW148" s="15">
        <f t="shared" si="159"/>
        <v>0</v>
      </c>
      <c r="AX148" s="15">
        <f t="shared" si="138"/>
        <v>0</v>
      </c>
      <c r="AY148" s="15">
        <f>AI148+AQ148+AX148</f>
        <v>0</v>
      </c>
      <c r="AZ148" s="15">
        <f>SUM(AG148,AO148,AV148)</f>
        <v>0</v>
      </c>
      <c r="BA148" s="78" t="e">
        <f t="shared" si="171"/>
        <v>#DIV/0!</v>
      </c>
      <c r="BD148" s="1"/>
      <c r="BF148" s="15">
        <f t="shared" si="166"/>
        <v>0</v>
      </c>
      <c r="BG148" s="15">
        <f t="shared" si="131"/>
        <v>0</v>
      </c>
      <c r="BH148" s="15">
        <f t="shared" si="132"/>
        <v>0</v>
      </c>
      <c r="BN148" s="15">
        <f t="shared" si="167"/>
        <v>0</v>
      </c>
      <c r="BO148" s="15">
        <f t="shared" si="160"/>
        <v>0</v>
      </c>
      <c r="BP148" s="15">
        <f t="shared" si="133"/>
        <v>0</v>
      </c>
      <c r="BU148" s="15">
        <f t="shared" si="168"/>
        <v>0</v>
      </c>
      <c r="BV148" s="15">
        <f t="shared" si="134"/>
        <v>0</v>
      </c>
      <c r="BW148" s="15">
        <f t="shared" si="135"/>
        <v>0</v>
      </c>
      <c r="BX148" s="15">
        <f t="shared" si="161"/>
        <v>0</v>
      </c>
      <c r="BY148" s="15">
        <f t="shared" si="162"/>
        <v>0</v>
      </c>
      <c r="BZ148" s="1" t="e">
        <f t="shared" si="172"/>
        <v>#DIV/0!</v>
      </c>
      <c r="CA148" s="82"/>
      <c r="CG148" s="15">
        <f>COUNTIF(CB148:CF148,"PR")</f>
        <v>0</v>
      </c>
      <c r="CH148" s="15">
        <f>COUNTIF(CB148:CF148,"AB")</f>
        <v>0</v>
      </c>
      <c r="CI148" s="15">
        <f t="shared" si="136"/>
        <v>0</v>
      </c>
      <c r="CN148" s="15">
        <f>COUNTIF(CJ148:CM148,"PR")</f>
        <v>0</v>
      </c>
      <c r="CO148" s="15">
        <f>COUNTIF(CJ148:CM148,"AB")</f>
        <v>0</v>
      </c>
      <c r="CP148" s="15">
        <f t="shared" si="137"/>
        <v>0</v>
      </c>
      <c r="CU148" s="15">
        <f t="shared" si="169"/>
        <v>0</v>
      </c>
      <c r="CV148" s="15">
        <f t="shared" si="155"/>
        <v>0</v>
      </c>
      <c r="CW148" s="15">
        <f t="shared" si="156"/>
        <v>0</v>
      </c>
      <c r="CX148" s="15">
        <f>CG148+CN148+CU148</f>
        <v>0</v>
      </c>
      <c r="CY148" s="15" t="e">
        <f>SUM(CE148,#REF!,CS148)</f>
        <v>#REF!</v>
      </c>
      <c r="CZ148" s="1" t="e">
        <f t="shared" si="173"/>
        <v>#REF!</v>
      </c>
      <c r="DA148" s="82"/>
    </row>
    <row r="149" spans="1:105">
      <c r="A149" s="94"/>
      <c r="B149" s="14"/>
      <c r="H149" s="15">
        <f t="shared" si="153"/>
        <v>0</v>
      </c>
      <c r="I149" s="18">
        <f t="shared" si="149"/>
        <v>0</v>
      </c>
      <c r="J149" s="15">
        <f t="shared" si="150"/>
        <v>0</v>
      </c>
      <c r="O149" s="15">
        <f t="shared" si="163"/>
        <v>0</v>
      </c>
      <c r="P149" s="18">
        <f t="shared" si="151"/>
        <v>0</v>
      </c>
      <c r="Q149" s="15">
        <f t="shared" si="152"/>
        <v>0</v>
      </c>
      <c r="V149" s="15">
        <f t="shared" si="157"/>
        <v>0</v>
      </c>
      <c r="W149" s="15">
        <f t="shared" si="158"/>
        <v>0</v>
      </c>
      <c r="X149" s="15">
        <f t="shared" si="139"/>
        <v>0</v>
      </c>
      <c r="Y149" s="15">
        <f>J149+Q149+X149</f>
        <v>0</v>
      </c>
      <c r="Z149" s="15">
        <f>SUM(H149,O149,V149)</f>
        <v>0</v>
      </c>
      <c r="AA149" s="78" t="e">
        <f t="shared" si="170"/>
        <v>#DIV/0!</v>
      </c>
      <c r="AB149" s="82"/>
      <c r="AG149" s="15">
        <f t="shared" si="164"/>
        <v>0</v>
      </c>
      <c r="AH149" s="15">
        <f t="shared" si="127"/>
        <v>0</v>
      </c>
      <c r="AI149" s="15">
        <f t="shared" si="128"/>
        <v>0</v>
      </c>
      <c r="AO149" s="15">
        <f t="shared" si="165"/>
        <v>0</v>
      </c>
      <c r="AP149" s="15">
        <f t="shared" si="129"/>
        <v>0</v>
      </c>
      <c r="AQ149" s="15">
        <f t="shared" si="130"/>
        <v>0</v>
      </c>
      <c r="AV149" s="15">
        <f>COUNTIF(AR149:AU149,"PR")</f>
        <v>0</v>
      </c>
      <c r="AW149" s="15">
        <f t="shared" si="159"/>
        <v>0</v>
      </c>
      <c r="AX149" s="15">
        <f t="shared" si="138"/>
        <v>0</v>
      </c>
      <c r="AY149" s="15">
        <f>AI149+AQ149+AX149</f>
        <v>0</v>
      </c>
      <c r="AZ149" s="15">
        <f>SUM(AG149,AO149,AV149)</f>
        <v>0</v>
      </c>
      <c r="BA149" s="78" t="e">
        <f t="shared" si="171"/>
        <v>#DIV/0!</v>
      </c>
      <c r="BD149" s="1"/>
      <c r="BF149" s="15">
        <f t="shared" si="166"/>
        <v>0</v>
      </c>
      <c r="BG149" s="15">
        <f t="shared" si="131"/>
        <v>0</v>
      </c>
      <c r="BH149" s="15">
        <f t="shared" si="132"/>
        <v>0</v>
      </c>
      <c r="BN149" s="15">
        <f t="shared" si="167"/>
        <v>0</v>
      </c>
      <c r="BO149" s="15">
        <f t="shared" si="160"/>
        <v>0</v>
      </c>
      <c r="BP149" s="15">
        <f t="shared" si="133"/>
        <v>0</v>
      </c>
      <c r="BU149" s="15">
        <f t="shared" si="168"/>
        <v>0</v>
      </c>
      <c r="BV149" s="15">
        <f t="shared" si="134"/>
        <v>0</v>
      </c>
      <c r="BW149" s="15">
        <f t="shared" si="135"/>
        <v>0</v>
      </c>
      <c r="BX149" s="15">
        <f t="shared" si="161"/>
        <v>0</v>
      </c>
      <c r="BY149" s="15">
        <f t="shared" si="162"/>
        <v>0</v>
      </c>
      <c r="BZ149" s="1" t="e">
        <f t="shared" si="172"/>
        <v>#DIV/0!</v>
      </c>
      <c r="CA149" s="82"/>
      <c r="CG149" s="15">
        <f>COUNTIF(CB149:CF149,"PR")</f>
        <v>0</v>
      </c>
      <c r="CH149" s="15">
        <f>COUNTIF(CB149:CF149,"AB")</f>
        <v>0</v>
      </c>
      <c r="CI149" s="15">
        <f t="shared" si="136"/>
        <v>0</v>
      </c>
      <c r="CN149" s="15">
        <f>COUNTIF(CJ149:CM149,"PR")</f>
        <v>0</v>
      </c>
      <c r="CO149" s="15">
        <f>COUNTIF(CJ149:CM149,"AB")</f>
        <v>0</v>
      </c>
      <c r="CP149" s="15">
        <f t="shared" si="137"/>
        <v>0</v>
      </c>
      <c r="CU149" s="15">
        <f t="shared" si="169"/>
        <v>0</v>
      </c>
      <c r="CV149" s="15">
        <f t="shared" si="155"/>
        <v>0</v>
      </c>
      <c r="CW149" s="15">
        <f t="shared" si="156"/>
        <v>0</v>
      </c>
      <c r="CX149" s="15">
        <f>CG149+CN149+CU149</f>
        <v>0</v>
      </c>
      <c r="CY149" s="15" t="e">
        <f>SUM(CE149,#REF!,CS149)</f>
        <v>#REF!</v>
      </c>
      <c r="CZ149" s="1" t="e">
        <f t="shared" si="173"/>
        <v>#REF!</v>
      </c>
      <c r="DA149" s="82"/>
    </row>
    <row r="150" spans="1:105">
      <c r="A150" s="94"/>
      <c r="B150" s="14"/>
      <c r="H150" s="15">
        <f t="shared" si="153"/>
        <v>0</v>
      </c>
      <c r="I150" s="18">
        <f t="shared" si="149"/>
        <v>0</v>
      </c>
      <c r="J150" s="15">
        <f t="shared" si="150"/>
        <v>0</v>
      </c>
      <c r="O150" s="15">
        <f t="shared" si="163"/>
        <v>0</v>
      </c>
      <c r="P150" s="18">
        <f t="shared" si="151"/>
        <v>0</v>
      </c>
      <c r="Q150" s="15">
        <f t="shared" si="152"/>
        <v>0</v>
      </c>
      <c r="V150" s="15">
        <f t="shared" si="157"/>
        <v>0</v>
      </c>
      <c r="W150" s="15">
        <f t="shared" si="158"/>
        <v>0</v>
      </c>
      <c r="X150" s="15">
        <f t="shared" si="139"/>
        <v>0</v>
      </c>
      <c r="Y150" s="15">
        <f>J150+Q150+X150</f>
        <v>0</v>
      </c>
      <c r="Z150" s="15">
        <f>SUM(H150,O150,V150)</f>
        <v>0</v>
      </c>
      <c r="AA150" s="78" t="e">
        <f t="shared" si="170"/>
        <v>#DIV/0!</v>
      </c>
      <c r="AB150" s="82"/>
      <c r="AG150" s="15">
        <f t="shared" si="164"/>
        <v>0</v>
      </c>
      <c r="AH150" s="15">
        <f t="shared" si="127"/>
        <v>0</v>
      </c>
      <c r="AI150" s="15">
        <f t="shared" si="128"/>
        <v>0</v>
      </c>
      <c r="AO150" s="15">
        <f t="shared" si="165"/>
        <v>0</v>
      </c>
      <c r="AP150" s="15">
        <f t="shared" si="129"/>
        <v>0</v>
      </c>
      <c r="AQ150" s="15">
        <f t="shared" si="130"/>
        <v>0</v>
      </c>
      <c r="AV150" s="15">
        <f>COUNTIF(AR150:AU150,"PR")</f>
        <v>0</v>
      </c>
      <c r="AW150" s="15">
        <f t="shared" si="159"/>
        <v>0</v>
      </c>
      <c r="AX150" s="15">
        <f t="shared" si="138"/>
        <v>0</v>
      </c>
      <c r="AY150" s="15">
        <f>AI150+AQ150+AX150</f>
        <v>0</v>
      </c>
      <c r="AZ150" s="15">
        <f>SUM(AG150,AO150,AV150)</f>
        <v>0</v>
      </c>
      <c r="BA150" s="78" t="e">
        <f t="shared" si="171"/>
        <v>#DIV/0!</v>
      </c>
      <c r="BD150" s="1"/>
      <c r="BF150" s="15">
        <f t="shared" si="166"/>
        <v>0</v>
      </c>
      <c r="BG150" s="15">
        <f t="shared" si="131"/>
        <v>0</v>
      </c>
      <c r="BH150" s="15">
        <f t="shared" si="132"/>
        <v>0</v>
      </c>
      <c r="BN150" s="15">
        <f t="shared" si="167"/>
        <v>0</v>
      </c>
      <c r="BO150" s="15">
        <f t="shared" si="160"/>
        <v>0</v>
      </c>
      <c r="BP150" s="15">
        <f t="shared" si="133"/>
        <v>0</v>
      </c>
      <c r="BU150" s="15">
        <f t="shared" si="168"/>
        <v>0</v>
      </c>
      <c r="BV150" s="15">
        <f t="shared" si="134"/>
        <v>0</v>
      </c>
      <c r="BW150" s="15">
        <f t="shared" si="135"/>
        <v>0</v>
      </c>
      <c r="BX150" s="15">
        <f t="shared" si="161"/>
        <v>0</v>
      </c>
      <c r="BY150" s="15">
        <f t="shared" si="162"/>
        <v>0</v>
      </c>
      <c r="BZ150" s="1" t="e">
        <f t="shared" si="172"/>
        <v>#DIV/0!</v>
      </c>
      <c r="CA150" s="82"/>
      <c r="CG150" s="15">
        <f>COUNTIF(CB150:CF150,"PR")</f>
        <v>0</v>
      </c>
      <c r="CH150" s="15">
        <f>COUNTIF(CB150:CF150,"AB")</f>
        <v>0</v>
      </c>
      <c r="CI150" s="15">
        <f t="shared" si="136"/>
        <v>0</v>
      </c>
      <c r="CN150" s="15">
        <f>COUNTIF(CJ150:CM150,"PR")</f>
        <v>0</v>
      </c>
      <c r="CO150" s="15">
        <f>COUNTIF(CJ150:CM150,"AB")</f>
        <v>0</v>
      </c>
      <c r="CP150" s="15">
        <f t="shared" si="137"/>
        <v>0</v>
      </c>
      <c r="CU150" s="15">
        <f t="shared" si="169"/>
        <v>0</v>
      </c>
      <c r="CV150" s="15">
        <f t="shared" si="155"/>
        <v>0</v>
      </c>
      <c r="CW150" s="15">
        <f t="shared" si="156"/>
        <v>0</v>
      </c>
      <c r="CX150" s="15">
        <f>CG150+CN150+CU150</f>
        <v>0</v>
      </c>
      <c r="CY150" s="15" t="e">
        <f>SUM(CE150,#REF!,CS150)</f>
        <v>#REF!</v>
      </c>
      <c r="CZ150" s="1" t="e">
        <f t="shared" si="173"/>
        <v>#REF!</v>
      </c>
      <c r="DA150" s="82"/>
    </row>
    <row r="151" spans="1:105">
      <c r="A151" s="94"/>
      <c r="B151" s="14"/>
      <c r="H151" s="15">
        <f t="shared" si="153"/>
        <v>0</v>
      </c>
      <c r="I151" s="18">
        <f t="shared" si="149"/>
        <v>0</v>
      </c>
      <c r="J151" s="15">
        <f t="shared" si="150"/>
        <v>0</v>
      </c>
      <c r="O151" s="15">
        <f t="shared" si="163"/>
        <v>0</v>
      </c>
      <c r="P151" s="18">
        <f t="shared" si="151"/>
        <v>0</v>
      </c>
      <c r="Q151" s="15">
        <f t="shared" si="152"/>
        <v>0</v>
      </c>
      <c r="V151" s="15">
        <f t="shared" si="157"/>
        <v>0</v>
      </c>
      <c r="W151" s="15">
        <f t="shared" si="158"/>
        <v>0</v>
      </c>
      <c r="X151" s="15">
        <f t="shared" si="139"/>
        <v>0</v>
      </c>
      <c r="Y151" s="15">
        <f>J151+Q151+X151</f>
        <v>0</v>
      </c>
      <c r="Z151" s="15">
        <f>SUM(H151,O151,V151)</f>
        <v>0</v>
      </c>
      <c r="AA151" s="78" t="e">
        <f t="shared" si="170"/>
        <v>#DIV/0!</v>
      </c>
      <c r="AB151" s="82"/>
      <c r="AG151" s="15">
        <f t="shared" si="164"/>
        <v>0</v>
      </c>
      <c r="AH151" s="15">
        <f t="shared" si="127"/>
        <v>0</v>
      </c>
      <c r="AI151" s="15">
        <f t="shared" si="128"/>
        <v>0</v>
      </c>
      <c r="AO151" s="15">
        <f t="shared" si="165"/>
        <v>0</v>
      </c>
      <c r="AP151" s="15">
        <f t="shared" si="129"/>
        <v>0</v>
      </c>
      <c r="AQ151" s="15">
        <f t="shared" si="130"/>
        <v>0</v>
      </c>
      <c r="AV151" s="15">
        <f>COUNTIF(AR151:AU151,"PR")</f>
        <v>0</v>
      </c>
      <c r="AW151" s="15">
        <f t="shared" si="159"/>
        <v>0</v>
      </c>
      <c r="AX151" s="15">
        <f t="shared" si="138"/>
        <v>0</v>
      </c>
      <c r="AY151" s="15">
        <f>AI151+AQ151+AX151</f>
        <v>0</v>
      </c>
      <c r="AZ151" s="15">
        <f>SUM(AG151,AO151,AV151)</f>
        <v>0</v>
      </c>
      <c r="BA151" s="78" t="e">
        <f t="shared" si="171"/>
        <v>#DIV/0!</v>
      </c>
      <c r="BD151" s="1"/>
      <c r="BF151" s="15">
        <f t="shared" si="166"/>
        <v>0</v>
      </c>
      <c r="BG151" s="15">
        <f t="shared" si="131"/>
        <v>0</v>
      </c>
      <c r="BH151" s="15">
        <f t="shared" si="132"/>
        <v>0</v>
      </c>
      <c r="BN151" s="15">
        <f t="shared" si="167"/>
        <v>0</v>
      </c>
      <c r="BO151" s="15">
        <f t="shared" si="160"/>
        <v>0</v>
      </c>
      <c r="BP151" s="15">
        <f t="shared" si="133"/>
        <v>0</v>
      </c>
      <c r="BU151" s="15">
        <f t="shared" si="168"/>
        <v>0</v>
      </c>
      <c r="BV151" s="15">
        <f t="shared" si="134"/>
        <v>0</v>
      </c>
      <c r="BW151" s="15">
        <f t="shared" si="135"/>
        <v>0</v>
      </c>
      <c r="BX151" s="15">
        <f t="shared" si="161"/>
        <v>0</v>
      </c>
      <c r="BY151" s="15">
        <f t="shared" si="162"/>
        <v>0</v>
      </c>
      <c r="BZ151" s="1" t="e">
        <f t="shared" si="172"/>
        <v>#DIV/0!</v>
      </c>
      <c r="CA151" s="82"/>
      <c r="CG151" s="15">
        <f>COUNTIF(CB151:CF151,"PR")</f>
        <v>0</v>
      </c>
      <c r="CH151" s="15">
        <f>COUNTIF(CB151:CF151,"AB")</f>
        <v>0</v>
      </c>
      <c r="CI151" s="15">
        <f t="shared" si="136"/>
        <v>0</v>
      </c>
      <c r="CN151" s="15">
        <f>COUNTIF(CJ151:CM151,"PR")</f>
        <v>0</v>
      </c>
      <c r="CO151" s="15">
        <f>COUNTIF(CJ151:CM151,"AB")</f>
        <v>0</v>
      </c>
      <c r="CP151" s="15">
        <f t="shared" si="137"/>
        <v>0</v>
      </c>
      <c r="CU151" s="15">
        <f t="shared" si="169"/>
        <v>0</v>
      </c>
      <c r="CV151" s="15">
        <f t="shared" si="155"/>
        <v>0</v>
      </c>
      <c r="CW151" s="15">
        <f t="shared" si="156"/>
        <v>0</v>
      </c>
      <c r="CX151" s="15">
        <f>CG151+CN151+CU151</f>
        <v>0</v>
      </c>
      <c r="CY151" s="15" t="e">
        <f>SUM(CE151,#REF!,CS151)</f>
        <v>#REF!</v>
      </c>
      <c r="CZ151" s="1" t="e">
        <f t="shared" si="173"/>
        <v>#REF!</v>
      </c>
      <c r="DA151" s="82"/>
    </row>
    <row r="152" spans="1:105">
      <c r="A152" s="94"/>
      <c r="B152" s="14"/>
      <c r="H152" s="15">
        <f t="shared" si="153"/>
        <v>0</v>
      </c>
      <c r="I152" s="18">
        <f t="shared" si="149"/>
        <v>0</v>
      </c>
      <c r="J152" s="15">
        <f t="shared" si="150"/>
        <v>0</v>
      </c>
      <c r="O152" s="15">
        <f t="shared" si="163"/>
        <v>0</v>
      </c>
      <c r="P152" s="18">
        <f t="shared" si="151"/>
        <v>0</v>
      </c>
      <c r="Q152" s="15">
        <f t="shared" si="152"/>
        <v>0</v>
      </c>
      <c r="V152" s="15">
        <f t="shared" si="157"/>
        <v>0</v>
      </c>
      <c r="W152" s="15">
        <f t="shared" si="158"/>
        <v>0</v>
      </c>
      <c r="X152" s="15">
        <f t="shared" si="139"/>
        <v>0</v>
      </c>
      <c r="Y152" s="15">
        <f>J152+Q152+X152</f>
        <v>0</v>
      </c>
      <c r="Z152" s="15">
        <f>SUM(H152,O152,V152)</f>
        <v>0</v>
      </c>
      <c r="AA152" s="78" t="e">
        <f t="shared" si="170"/>
        <v>#DIV/0!</v>
      </c>
      <c r="AB152" s="82"/>
      <c r="AG152" s="15">
        <f t="shared" si="164"/>
        <v>0</v>
      </c>
      <c r="AH152" s="15">
        <f t="shared" si="127"/>
        <v>0</v>
      </c>
      <c r="AI152" s="15">
        <f t="shared" si="128"/>
        <v>0</v>
      </c>
      <c r="AO152" s="15">
        <f t="shared" si="165"/>
        <v>0</v>
      </c>
      <c r="AP152" s="15">
        <f t="shared" si="129"/>
        <v>0</v>
      </c>
      <c r="AQ152" s="15">
        <f t="shared" si="130"/>
        <v>0</v>
      </c>
      <c r="AV152" s="15">
        <f>COUNTIF(AR152:AU152,"PR")</f>
        <v>0</v>
      </c>
      <c r="AW152" s="15">
        <f t="shared" si="159"/>
        <v>0</v>
      </c>
      <c r="AX152" s="15">
        <f t="shared" si="138"/>
        <v>0</v>
      </c>
      <c r="AY152" s="15">
        <f>AI152+AQ152+AX152</f>
        <v>0</v>
      </c>
      <c r="AZ152" s="15">
        <f>SUM(AG152,AO152,AV152)</f>
        <v>0</v>
      </c>
      <c r="BA152" s="78" t="e">
        <f t="shared" si="171"/>
        <v>#DIV/0!</v>
      </c>
      <c r="BD152" s="1"/>
      <c r="BF152" s="15">
        <f t="shared" si="166"/>
        <v>0</v>
      </c>
      <c r="BG152" s="15">
        <f t="shared" si="131"/>
        <v>0</v>
      </c>
      <c r="BH152" s="15">
        <f t="shared" si="132"/>
        <v>0</v>
      </c>
      <c r="BN152" s="15">
        <f t="shared" si="167"/>
        <v>0</v>
      </c>
      <c r="BO152" s="15">
        <f t="shared" si="160"/>
        <v>0</v>
      </c>
      <c r="BP152" s="15">
        <f t="shared" si="133"/>
        <v>0</v>
      </c>
      <c r="BU152" s="15">
        <f t="shared" si="168"/>
        <v>0</v>
      </c>
      <c r="BV152" s="15">
        <f t="shared" si="134"/>
        <v>0</v>
      </c>
      <c r="BW152" s="15">
        <f t="shared" si="135"/>
        <v>0</v>
      </c>
      <c r="BX152" s="15">
        <f t="shared" si="161"/>
        <v>0</v>
      </c>
      <c r="BY152" s="15">
        <f t="shared" si="162"/>
        <v>0</v>
      </c>
      <c r="BZ152" s="1" t="e">
        <f t="shared" si="172"/>
        <v>#DIV/0!</v>
      </c>
      <c r="CA152" s="82"/>
      <c r="CG152" s="15">
        <f>COUNTIF(CB152:CF152,"PR")</f>
        <v>0</v>
      </c>
      <c r="CH152" s="15">
        <f>COUNTIF(CB152:CF152,"AB")</f>
        <v>0</v>
      </c>
      <c r="CI152" s="15">
        <f t="shared" si="136"/>
        <v>0</v>
      </c>
      <c r="CN152" s="15">
        <f>COUNTIF(CJ152:CM152,"PR")</f>
        <v>0</v>
      </c>
      <c r="CO152" s="15">
        <f>COUNTIF(CJ152:CM152,"AB")</f>
        <v>0</v>
      </c>
      <c r="CP152" s="15">
        <f t="shared" si="137"/>
        <v>0</v>
      </c>
      <c r="CU152" s="15">
        <f t="shared" si="169"/>
        <v>0</v>
      </c>
      <c r="CV152" s="15">
        <f t="shared" si="155"/>
        <v>0</v>
      </c>
      <c r="CW152" s="15">
        <f t="shared" si="156"/>
        <v>0</v>
      </c>
      <c r="CX152" s="15">
        <f>CG152+CN152+CU152</f>
        <v>0</v>
      </c>
      <c r="CY152" s="15" t="e">
        <f>SUM(CE152,#REF!,CS152)</f>
        <v>#REF!</v>
      </c>
      <c r="CZ152" s="1" t="e">
        <f t="shared" si="173"/>
        <v>#REF!</v>
      </c>
      <c r="DA152" s="82"/>
    </row>
    <row r="153" spans="1:105">
      <c r="A153" s="94"/>
      <c r="B153" s="14"/>
      <c r="H153" s="15">
        <f t="shared" si="153"/>
        <v>0</v>
      </c>
      <c r="I153" s="18">
        <f t="shared" si="149"/>
        <v>0</v>
      </c>
      <c r="J153" s="15">
        <f t="shared" si="150"/>
        <v>0</v>
      </c>
      <c r="O153" s="15">
        <f t="shared" si="163"/>
        <v>0</v>
      </c>
      <c r="P153" s="18">
        <f t="shared" si="151"/>
        <v>0</v>
      </c>
      <c r="Q153" s="15">
        <f t="shared" si="152"/>
        <v>0</v>
      </c>
      <c r="V153" s="15">
        <f t="shared" si="157"/>
        <v>0</v>
      </c>
      <c r="W153" s="15">
        <f t="shared" si="158"/>
        <v>0</v>
      </c>
      <c r="X153" s="15">
        <f t="shared" si="139"/>
        <v>0</v>
      </c>
      <c r="Y153" s="15">
        <f>J153+Q153+X153</f>
        <v>0</v>
      </c>
      <c r="Z153" s="15">
        <f>SUM(H153,O153,V153)</f>
        <v>0</v>
      </c>
      <c r="AA153" s="78" t="e">
        <f t="shared" si="170"/>
        <v>#DIV/0!</v>
      </c>
      <c r="AB153" s="82"/>
      <c r="AG153" s="15">
        <f t="shared" si="164"/>
        <v>0</v>
      </c>
      <c r="AH153" s="15">
        <f t="shared" si="127"/>
        <v>0</v>
      </c>
      <c r="AI153" s="15">
        <f t="shared" si="128"/>
        <v>0</v>
      </c>
      <c r="AO153" s="15">
        <f t="shared" si="165"/>
        <v>0</v>
      </c>
      <c r="AP153" s="15">
        <f t="shared" si="129"/>
        <v>0</v>
      </c>
      <c r="AQ153" s="15">
        <f t="shared" si="130"/>
        <v>0</v>
      </c>
      <c r="AV153" s="15">
        <f>COUNTIF(AR153:AU153,"PR")</f>
        <v>0</v>
      </c>
      <c r="AW153" s="15">
        <f t="shared" si="159"/>
        <v>0</v>
      </c>
      <c r="AX153" s="15">
        <f t="shared" si="138"/>
        <v>0</v>
      </c>
      <c r="AY153" s="15">
        <f>AI153+AQ153+AX153</f>
        <v>0</v>
      </c>
      <c r="AZ153" s="15">
        <f>SUM(AG153,AO153,AV153)</f>
        <v>0</v>
      </c>
      <c r="BA153" s="78" t="e">
        <f t="shared" si="171"/>
        <v>#DIV/0!</v>
      </c>
      <c r="BD153" s="1"/>
      <c r="BF153" s="15">
        <f t="shared" si="166"/>
        <v>0</v>
      </c>
      <c r="BG153" s="15">
        <f t="shared" si="131"/>
        <v>0</v>
      </c>
      <c r="BH153" s="15">
        <f t="shared" si="132"/>
        <v>0</v>
      </c>
      <c r="BN153" s="15">
        <f t="shared" si="167"/>
        <v>0</v>
      </c>
      <c r="BO153" s="15">
        <f t="shared" si="160"/>
        <v>0</v>
      </c>
      <c r="BP153" s="15">
        <f t="shared" si="133"/>
        <v>0</v>
      </c>
      <c r="BU153" s="15">
        <f t="shared" si="168"/>
        <v>0</v>
      </c>
      <c r="BV153" s="15">
        <f t="shared" si="134"/>
        <v>0</v>
      </c>
      <c r="BW153" s="15">
        <f t="shared" si="135"/>
        <v>0</v>
      </c>
      <c r="BX153" s="15">
        <f t="shared" si="161"/>
        <v>0</v>
      </c>
      <c r="BY153" s="15">
        <f t="shared" si="162"/>
        <v>0</v>
      </c>
      <c r="BZ153" s="1" t="e">
        <f t="shared" si="172"/>
        <v>#DIV/0!</v>
      </c>
      <c r="CA153" s="82"/>
      <c r="CG153" s="15">
        <f>COUNTIF(CB153:CF153,"PR")</f>
        <v>0</v>
      </c>
      <c r="CH153" s="15">
        <f>COUNTIF(CB153:CF153,"AB")</f>
        <v>0</v>
      </c>
      <c r="CI153" s="15">
        <f t="shared" si="136"/>
        <v>0</v>
      </c>
      <c r="CN153" s="15">
        <f>COUNTIF(CJ153:CM153,"PR")</f>
        <v>0</v>
      </c>
      <c r="CO153" s="15">
        <f>COUNTIF(CJ153:CM153,"AB")</f>
        <v>0</v>
      </c>
      <c r="CP153" s="15">
        <f t="shared" si="137"/>
        <v>0</v>
      </c>
      <c r="CU153" s="15">
        <f t="shared" si="169"/>
        <v>0</v>
      </c>
      <c r="CV153" s="15">
        <f t="shared" si="155"/>
        <v>0</v>
      </c>
      <c r="CW153" s="15">
        <f t="shared" si="156"/>
        <v>0</v>
      </c>
      <c r="CX153" s="15">
        <f>CG153+CN153+CU153</f>
        <v>0</v>
      </c>
      <c r="CY153" s="15" t="e">
        <f>SUM(CE153,#REF!,CS153)</f>
        <v>#REF!</v>
      </c>
      <c r="CZ153" s="1" t="e">
        <f t="shared" si="173"/>
        <v>#REF!</v>
      </c>
      <c r="DA153" s="82"/>
    </row>
    <row r="154" spans="1:105">
      <c r="A154" s="88"/>
      <c r="B154" s="14"/>
      <c r="H154" s="15">
        <f t="shared" si="153"/>
        <v>0</v>
      </c>
      <c r="I154" s="18">
        <f t="shared" si="149"/>
        <v>0</v>
      </c>
      <c r="J154" s="15">
        <f t="shared" si="150"/>
        <v>0</v>
      </c>
      <c r="O154" s="15">
        <f t="shared" si="163"/>
        <v>0</v>
      </c>
      <c r="P154" s="18">
        <f t="shared" si="151"/>
        <v>0</v>
      </c>
      <c r="Q154" s="15">
        <f t="shared" si="152"/>
        <v>0</v>
      </c>
      <c r="V154" s="15">
        <f t="shared" si="157"/>
        <v>0</v>
      </c>
      <c r="W154" s="15">
        <f t="shared" si="158"/>
        <v>0</v>
      </c>
      <c r="X154" s="15">
        <f t="shared" si="139"/>
        <v>0</v>
      </c>
      <c r="Y154" s="15">
        <f>J154+Q154+X154</f>
        <v>0</v>
      </c>
      <c r="Z154" s="15">
        <f>SUM(H154,O154,V154)</f>
        <v>0</v>
      </c>
      <c r="AA154" s="78" t="e">
        <f t="shared" si="170"/>
        <v>#DIV/0!</v>
      </c>
      <c r="AB154" s="82"/>
      <c r="AG154" s="15">
        <f t="shared" si="164"/>
        <v>0</v>
      </c>
      <c r="AH154" s="15">
        <f t="shared" si="127"/>
        <v>0</v>
      </c>
      <c r="AI154" s="15">
        <f t="shared" si="128"/>
        <v>0</v>
      </c>
      <c r="AO154" s="15">
        <f t="shared" si="165"/>
        <v>0</v>
      </c>
      <c r="AP154" s="15">
        <f t="shared" si="129"/>
        <v>0</v>
      </c>
      <c r="AQ154" s="15">
        <f t="shared" si="130"/>
        <v>0</v>
      </c>
      <c r="AV154" s="15">
        <f>COUNTIF(AR154:AU154,"PR")</f>
        <v>0</v>
      </c>
      <c r="AW154" s="15">
        <f t="shared" si="159"/>
        <v>0</v>
      </c>
      <c r="AX154" s="15">
        <f t="shared" si="138"/>
        <v>0</v>
      </c>
      <c r="AY154" s="15">
        <f>AI154+AQ154+AX154</f>
        <v>0</v>
      </c>
      <c r="AZ154" s="15">
        <f>SUM(AG154,AO154,AV154)</f>
        <v>0</v>
      </c>
      <c r="BA154" s="78" t="e">
        <f t="shared" si="171"/>
        <v>#DIV/0!</v>
      </c>
      <c r="BD154" s="1"/>
      <c r="BF154" s="15">
        <f t="shared" si="166"/>
        <v>0</v>
      </c>
      <c r="BG154" s="15">
        <f t="shared" si="131"/>
        <v>0</v>
      </c>
      <c r="BH154" s="15">
        <f t="shared" si="132"/>
        <v>0</v>
      </c>
      <c r="BN154" s="15">
        <f t="shared" si="167"/>
        <v>0</v>
      </c>
      <c r="BO154" s="15">
        <f t="shared" si="160"/>
        <v>0</v>
      </c>
      <c r="BP154" s="15">
        <f t="shared" si="133"/>
        <v>0</v>
      </c>
      <c r="BU154" s="15">
        <f t="shared" si="168"/>
        <v>0</v>
      </c>
      <c r="BV154" s="15">
        <f t="shared" si="134"/>
        <v>0</v>
      </c>
      <c r="BW154" s="15">
        <f t="shared" si="135"/>
        <v>0</v>
      </c>
      <c r="BX154" s="15">
        <f t="shared" si="161"/>
        <v>0</v>
      </c>
      <c r="BY154" s="15">
        <f t="shared" si="162"/>
        <v>0</v>
      </c>
      <c r="BZ154" s="1" t="e">
        <f t="shared" si="172"/>
        <v>#DIV/0!</v>
      </c>
      <c r="CA154" s="82"/>
      <c r="CG154" s="15">
        <f>COUNTIF(CB154:CF154,"PR")</f>
        <v>0</v>
      </c>
      <c r="CH154" s="15">
        <f>COUNTIF(CB154:CF154,"AB")</f>
        <v>0</v>
      </c>
      <c r="CI154" s="15">
        <f t="shared" si="136"/>
        <v>0</v>
      </c>
      <c r="CN154" s="15">
        <f>COUNTIF(CJ154:CM154,"PR")</f>
        <v>0</v>
      </c>
      <c r="CO154" s="15">
        <f>COUNTIF(CJ154:CM154,"AB")</f>
        <v>0</v>
      </c>
      <c r="CP154" s="15">
        <f t="shared" si="137"/>
        <v>0</v>
      </c>
      <c r="CU154" s="15">
        <f t="shared" si="169"/>
        <v>0</v>
      </c>
      <c r="CV154" s="15">
        <f t="shared" si="155"/>
        <v>0</v>
      </c>
      <c r="CW154" s="15">
        <f t="shared" si="156"/>
        <v>0</v>
      </c>
      <c r="CX154" s="15">
        <f>CG154+CN154+CU154</f>
        <v>0</v>
      </c>
      <c r="CY154" s="15" t="e">
        <f>SUM(CE154,#REF!,CS154)</f>
        <v>#REF!</v>
      </c>
      <c r="CZ154" s="1" t="e">
        <f t="shared" si="173"/>
        <v>#REF!</v>
      </c>
      <c r="DA154" s="82"/>
    </row>
    <row r="155" spans="1:105">
      <c r="A155" s="88"/>
      <c r="B155" s="14"/>
      <c r="H155" s="15">
        <f t="shared" si="153"/>
        <v>0</v>
      </c>
      <c r="I155" s="18">
        <f t="shared" si="149"/>
        <v>0</v>
      </c>
      <c r="J155" s="15">
        <f t="shared" si="150"/>
        <v>0</v>
      </c>
      <c r="O155" s="15">
        <f t="shared" si="163"/>
        <v>0</v>
      </c>
      <c r="P155" s="18">
        <f t="shared" si="151"/>
        <v>0</v>
      </c>
      <c r="Q155" s="15">
        <f t="shared" si="152"/>
        <v>0</v>
      </c>
      <c r="V155" s="15">
        <f t="shared" si="157"/>
        <v>0</v>
      </c>
      <c r="W155" s="15">
        <f t="shared" si="158"/>
        <v>0</v>
      </c>
      <c r="X155" s="15">
        <f t="shared" si="139"/>
        <v>0</v>
      </c>
      <c r="Y155" s="15">
        <f>J155+Q155+X155</f>
        <v>0</v>
      </c>
      <c r="Z155" s="15">
        <f>SUM(H155,O155,V155)</f>
        <v>0</v>
      </c>
      <c r="AA155" s="78" t="e">
        <f t="shared" si="170"/>
        <v>#DIV/0!</v>
      </c>
      <c r="AB155" s="82"/>
      <c r="AG155" s="15">
        <f t="shared" si="164"/>
        <v>0</v>
      </c>
      <c r="AH155" s="15">
        <f t="shared" si="127"/>
        <v>0</v>
      </c>
      <c r="AI155" s="15">
        <f t="shared" si="128"/>
        <v>0</v>
      </c>
      <c r="AO155" s="15">
        <f t="shared" si="165"/>
        <v>0</v>
      </c>
      <c r="AP155" s="15">
        <f t="shared" si="129"/>
        <v>0</v>
      </c>
      <c r="AQ155" s="15">
        <f t="shared" si="130"/>
        <v>0</v>
      </c>
      <c r="AV155" s="15">
        <f>COUNTIF(AR155:AU155,"PR")</f>
        <v>0</v>
      </c>
      <c r="AW155" s="15">
        <f t="shared" si="159"/>
        <v>0</v>
      </c>
      <c r="AX155" s="15">
        <f t="shared" si="138"/>
        <v>0</v>
      </c>
      <c r="AY155" s="15">
        <f>AI155+AQ155+AX155</f>
        <v>0</v>
      </c>
      <c r="AZ155" s="15">
        <f>SUM(AG155,AO155,AV155)</f>
        <v>0</v>
      </c>
      <c r="BA155" s="78" t="e">
        <f t="shared" si="171"/>
        <v>#DIV/0!</v>
      </c>
      <c r="BD155" s="1"/>
      <c r="BF155" s="15">
        <f t="shared" si="166"/>
        <v>0</v>
      </c>
      <c r="BG155" s="15">
        <f t="shared" si="131"/>
        <v>0</v>
      </c>
      <c r="BH155" s="15">
        <f t="shared" si="132"/>
        <v>0</v>
      </c>
      <c r="BN155" s="15">
        <f t="shared" si="167"/>
        <v>0</v>
      </c>
      <c r="BO155" s="15">
        <f t="shared" si="160"/>
        <v>0</v>
      </c>
      <c r="BP155" s="15">
        <f t="shared" si="133"/>
        <v>0</v>
      </c>
      <c r="BU155" s="15">
        <f t="shared" si="168"/>
        <v>0</v>
      </c>
      <c r="BV155" s="15">
        <f t="shared" si="134"/>
        <v>0</v>
      </c>
      <c r="BW155" s="15">
        <f t="shared" si="135"/>
        <v>0</v>
      </c>
      <c r="BX155" s="15">
        <f t="shared" si="161"/>
        <v>0</v>
      </c>
      <c r="BY155" s="15">
        <f t="shared" si="162"/>
        <v>0</v>
      </c>
      <c r="BZ155" s="1" t="e">
        <f t="shared" si="172"/>
        <v>#DIV/0!</v>
      </c>
      <c r="CA155" s="82"/>
      <c r="CG155" s="15">
        <f>COUNTIF(CB155:CF155,"PR")</f>
        <v>0</v>
      </c>
      <c r="CH155" s="15">
        <f>COUNTIF(CB155:CF155,"AB")</f>
        <v>0</v>
      </c>
      <c r="CI155" s="15">
        <f t="shared" si="136"/>
        <v>0</v>
      </c>
      <c r="CN155" s="15">
        <f>COUNTIF(CJ155:CM155,"PR")</f>
        <v>0</v>
      </c>
      <c r="CO155" s="15">
        <f>COUNTIF(CJ155:CM155,"AB")</f>
        <v>0</v>
      </c>
      <c r="CP155" s="15">
        <f t="shared" si="137"/>
        <v>0</v>
      </c>
      <c r="CU155" s="15">
        <f t="shared" si="169"/>
        <v>0</v>
      </c>
      <c r="CV155" s="15">
        <f t="shared" si="155"/>
        <v>0</v>
      </c>
      <c r="CW155" s="15">
        <f t="shared" si="156"/>
        <v>0</v>
      </c>
      <c r="CX155" s="15">
        <f>CG155+CN155+CU155</f>
        <v>0</v>
      </c>
      <c r="CY155" s="15" t="e">
        <f>SUM(CE155,#REF!,CS155)</f>
        <v>#REF!</v>
      </c>
      <c r="CZ155" s="1" t="e">
        <f t="shared" si="173"/>
        <v>#REF!</v>
      </c>
      <c r="DA155" s="82"/>
    </row>
    <row r="156" spans="1:105">
      <c r="A156" s="88"/>
      <c r="B156" s="14"/>
      <c r="H156" s="15">
        <f t="shared" si="153"/>
        <v>0</v>
      </c>
      <c r="I156" s="18">
        <f t="shared" si="149"/>
        <v>0</v>
      </c>
      <c r="J156" s="15">
        <f t="shared" si="150"/>
        <v>0</v>
      </c>
      <c r="O156" s="15">
        <f t="shared" si="163"/>
        <v>0</v>
      </c>
      <c r="P156" s="18">
        <f t="shared" si="151"/>
        <v>0</v>
      </c>
      <c r="Q156" s="15">
        <f t="shared" si="152"/>
        <v>0</v>
      </c>
      <c r="V156" s="15">
        <f t="shared" si="157"/>
        <v>0</v>
      </c>
      <c r="W156" s="15">
        <f t="shared" si="158"/>
        <v>0</v>
      </c>
      <c r="X156" s="15">
        <f t="shared" si="139"/>
        <v>0</v>
      </c>
      <c r="Y156" s="15">
        <f>J156+Q156+X156</f>
        <v>0</v>
      </c>
      <c r="Z156" s="15">
        <f>SUM(H156,O156,V156)</f>
        <v>0</v>
      </c>
      <c r="AA156" s="78" t="e">
        <f t="shared" si="170"/>
        <v>#DIV/0!</v>
      </c>
      <c r="AB156" s="82"/>
      <c r="AG156" s="15">
        <f t="shared" si="164"/>
        <v>0</v>
      </c>
      <c r="AH156" s="15">
        <f t="shared" si="127"/>
        <v>0</v>
      </c>
      <c r="AI156" s="15">
        <f t="shared" si="128"/>
        <v>0</v>
      </c>
      <c r="AO156" s="15">
        <f t="shared" si="165"/>
        <v>0</v>
      </c>
      <c r="AP156" s="15">
        <f t="shared" si="129"/>
        <v>0</v>
      </c>
      <c r="AQ156" s="15">
        <f t="shared" si="130"/>
        <v>0</v>
      </c>
      <c r="AV156" s="15">
        <f>COUNTIF(AR156:AU156,"PR")</f>
        <v>0</v>
      </c>
      <c r="AW156" s="15">
        <f t="shared" si="159"/>
        <v>0</v>
      </c>
      <c r="AX156" s="15">
        <f t="shared" si="138"/>
        <v>0</v>
      </c>
      <c r="AY156" s="15">
        <f>AI156+AQ156+AX156</f>
        <v>0</v>
      </c>
      <c r="AZ156" s="15">
        <f>SUM(AG156,AO156,AV156)</f>
        <v>0</v>
      </c>
      <c r="BA156" s="78" t="e">
        <f t="shared" si="171"/>
        <v>#DIV/0!</v>
      </c>
      <c r="BD156" s="1"/>
      <c r="BF156" s="15">
        <f t="shared" si="166"/>
        <v>0</v>
      </c>
      <c r="BG156" s="15">
        <f t="shared" si="131"/>
        <v>0</v>
      </c>
      <c r="BH156" s="15">
        <f t="shared" si="132"/>
        <v>0</v>
      </c>
      <c r="BN156" s="15">
        <f t="shared" si="167"/>
        <v>0</v>
      </c>
      <c r="BO156" s="15">
        <f t="shared" si="160"/>
        <v>0</v>
      </c>
      <c r="BP156" s="15">
        <f t="shared" si="133"/>
        <v>0</v>
      </c>
      <c r="BU156" s="15">
        <f t="shared" si="168"/>
        <v>0</v>
      </c>
      <c r="BV156" s="15">
        <f t="shared" si="134"/>
        <v>0</v>
      </c>
      <c r="BW156" s="15">
        <f t="shared" si="135"/>
        <v>0</v>
      </c>
      <c r="BX156" s="15">
        <f t="shared" si="161"/>
        <v>0</v>
      </c>
      <c r="BY156" s="15">
        <f t="shared" si="162"/>
        <v>0</v>
      </c>
      <c r="BZ156" s="1" t="e">
        <f t="shared" si="172"/>
        <v>#DIV/0!</v>
      </c>
      <c r="CA156" s="82"/>
      <c r="CG156" s="15">
        <f>COUNTIF(CB156:CF156,"PR")</f>
        <v>0</v>
      </c>
      <c r="CH156" s="15">
        <f>COUNTIF(CB156:CF156,"AB")</f>
        <v>0</v>
      </c>
      <c r="CI156" s="15">
        <f t="shared" si="136"/>
        <v>0</v>
      </c>
      <c r="CN156" s="15">
        <f>COUNTIF(CJ156:CM156,"PR")</f>
        <v>0</v>
      </c>
      <c r="CO156" s="15">
        <f>COUNTIF(CJ156:CM156,"AB")</f>
        <v>0</v>
      </c>
      <c r="CP156" s="15">
        <f t="shared" si="137"/>
        <v>0</v>
      </c>
      <c r="CU156" s="15">
        <f t="shared" si="169"/>
        <v>0</v>
      </c>
      <c r="CV156" s="15">
        <f t="shared" si="155"/>
        <v>0</v>
      </c>
      <c r="CW156" s="15">
        <f t="shared" si="156"/>
        <v>0</v>
      </c>
      <c r="CX156" s="15">
        <f>CG156+CN156+CU156</f>
        <v>0</v>
      </c>
      <c r="CY156" s="15" t="e">
        <f>SUM(CE156,#REF!,CS156)</f>
        <v>#REF!</v>
      </c>
      <c r="CZ156" s="1" t="e">
        <f t="shared" si="173"/>
        <v>#REF!</v>
      </c>
      <c r="DA156" s="82"/>
    </row>
    <row r="157" spans="1:105">
      <c r="A157" s="88"/>
      <c r="B157" s="14"/>
      <c r="H157" s="15">
        <f t="shared" si="153"/>
        <v>0</v>
      </c>
      <c r="I157" s="18">
        <f t="shared" si="149"/>
        <v>0</v>
      </c>
      <c r="J157" s="15">
        <f t="shared" si="150"/>
        <v>0</v>
      </c>
      <c r="O157" s="15">
        <f t="shared" si="163"/>
        <v>0</v>
      </c>
      <c r="P157" s="18">
        <f t="shared" si="151"/>
        <v>0</v>
      </c>
      <c r="Q157" s="15">
        <f t="shared" si="152"/>
        <v>0</v>
      </c>
      <c r="V157" s="15">
        <f t="shared" si="157"/>
        <v>0</v>
      </c>
      <c r="W157" s="15">
        <f t="shared" si="158"/>
        <v>0</v>
      </c>
      <c r="X157" s="15">
        <f t="shared" si="139"/>
        <v>0</v>
      </c>
      <c r="Y157" s="15">
        <f>J157+Q157+X157</f>
        <v>0</v>
      </c>
      <c r="Z157" s="15">
        <f>SUM(H157,O157,V157)</f>
        <v>0</v>
      </c>
      <c r="AA157" s="78" t="e">
        <f t="shared" si="170"/>
        <v>#DIV/0!</v>
      </c>
      <c r="AB157" s="82"/>
      <c r="AG157" s="15">
        <f t="shared" si="164"/>
        <v>0</v>
      </c>
      <c r="AH157" s="15">
        <f t="shared" si="127"/>
        <v>0</v>
      </c>
      <c r="AI157" s="15">
        <f t="shared" si="128"/>
        <v>0</v>
      </c>
      <c r="AO157" s="15">
        <f t="shared" si="165"/>
        <v>0</v>
      </c>
      <c r="AP157" s="15">
        <f t="shared" si="129"/>
        <v>0</v>
      </c>
      <c r="AQ157" s="15">
        <f t="shared" si="130"/>
        <v>0</v>
      </c>
      <c r="AV157" s="15">
        <f>COUNTIF(AR157:AU157,"PR")</f>
        <v>0</v>
      </c>
      <c r="AW157" s="15">
        <f t="shared" si="159"/>
        <v>0</v>
      </c>
      <c r="AX157" s="15">
        <f t="shared" si="138"/>
        <v>0</v>
      </c>
      <c r="AY157" s="15">
        <f>AI157+AQ157+AX157</f>
        <v>0</v>
      </c>
      <c r="AZ157" s="15">
        <f>SUM(AG157,AO157,AV157)</f>
        <v>0</v>
      </c>
      <c r="BA157" s="78" t="e">
        <f t="shared" si="171"/>
        <v>#DIV/0!</v>
      </c>
      <c r="BD157" s="1"/>
      <c r="BF157" s="15">
        <f t="shared" si="166"/>
        <v>0</v>
      </c>
      <c r="BG157" s="15">
        <f t="shared" si="131"/>
        <v>0</v>
      </c>
      <c r="BH157" s="15">
        <f t="shared" si="132"/>
        <v>0</v>
      </c>
      <c r="BN157" s="15">
        <f t="shared" si="167"/>
        <v>0</v>
      </c>
      <c r="BO157" s="15">
        <f t="shared" si="160"/>
        <v>0</v>
      </c>
      <c r="BP157" s="15">
        <f t="shared" si="133"/>
        <v>0</v>
      </c>
      <c r="BU157" s="15">
        <f t="shared" si="168"/>
        <v>0</v>
      </c>
      <c r="BV157" s="15">
        <f t="shared" si="134"/>
        <v>0</v>
      </c>
      <c r="BW157" s="15">
        <f t="shared" si="135"/>
        <v>0</v>
      </c>
      <c r="BX157" s="15">
        <f t="shared" si="161"/>
        <v>0</v>
      </c>
      <c r="BY157" s="15">
        <f t="shared" si="162"/>
        <v>0</v>
      </c>
      <c r="BZ157" s="1" t="e">
        <f t="shared" si="172"/>
        <v>#DIV/0!</v>
      </c>
      <c r="CA157" s="82"/>
      <c r="CG157" s="15">
        <f>COUNTIF(CB157:CF157,"PR")</f>
        <v>0</v>
      </c>
      <c r="CH157" s="15">
        <f>COUNTIF(CB157:CF157,"AB")</f>
        <v>0</v>
      </c>
      <c r="CI157" s="15">
        <f t="shared" si="136"/>
        <v>0</v>
      </c>
      <c r="CN157" s="15">
        <f>COUNTIF(CJ157:CM157,"PR")</f>
        <v>0</v>
      </c>
      <c r="CO157" s="15">
        <f>COUNTIF(CJ157:CM157,"AB")</f>
        <v>0</v>
      </c>
      <c r="CP157" s="15">
        <f t="shared" si="137"/>
        <v>0</v>
      </c>
      <c r="CU157" s="15">
        <f t="shared" si="169"/>
        <v>0</v>
      </c>
      <c r="CV157" s="15">
        <f t="shared" si="155"/>
        <v>0</v>
      </c>
      <c r="CW157" s="15">
        <f t="shared" si="156"/>
        <v>0</v>
      </c>
      <c r="CX157" s="15">
        <f>CG157+CN157+CU157</f>
        <v>0</v>
      </c>
      <c r="CY157" s="15" t="e">
        <f>SUM(CE157,#REF!,CS157)</f>
        <v>#REF!</v>
      </c>
      <c r="CZ157" s="1" t="e">
        <f t="shared" si="173"/>
        <v>#REF!</v>
      </c>
      <c r="DA157" s="82"/>
    </row>
    <row r="158" spans="1:105">
      <c r="A158" s="94"/>
      <c r="B158" s="14"/>
      <c r="H158" s="15">
        <f t="shared" si="153"/>
        <v>0</v>
      </c>
      <c r="I158" s="18">
        <f t="shared" si="149"/>
        <v>0</v>
      </c>
      <c r="J158" s="15">
        <f t="shared" si="150"/>
        <v>0</v>
      </c>
      <c r="O158" s="15">
        <f t="shared" si="163"/>
        <v>0</v>
      </c>
      <c r="P158" s="18">
        <f t="shared" si="151"/>
        <v>0</v>
      </c>
      <c r="Q158" s="15">
        <f t="shared" si="152"/>
        <v>0</v>
      </c>
      <c r="V158" s="15">
        <f t="shared" si="157"/>
        <v>0</v>
      </c>
      <c r="W158" s="15">
        <f t="shared" si="158"/>
        <v>0</v>
      </c>
      <c r="X158" s="15">
        <f t="shared" si="139"/>
        <v>0</v>
      </c>
      <c r="Y158" s="15">
        <f>J158+Q158+X158</f>
        <v>0</v>
      </c>
      <c r="Z158" s="15">
        <f>SUM(H158,O158,V158)</f>
        <v>0</v>
      </c>
      <c r="AA158" s="78" t="e">
        <f t="shared" si="170"/>
        <v>#DIV/0!</v>
      </c>
      <c r="AB158" s="82"/>
      <c r="AG158" s="15">
        <f t="shared" si="164"/>
        <v>0</v>
      </c>
      <c r="AH158" s="15">
        <f t="shared" si="127"/>
        <v>0</v>
      </c>
      <c r="AI158" s="15">
        <f t="shared" si="128"/>
        <v>0</v>
      </c>
      <c r="AO158" s="15">
        <f t="shared" si="165"/>
        <v>0</v>
      </c>
      <c r="AP158" s="15">
        <f t="shared" si="129"/>
        <v>0</v>
      </c>
      <c r="AQ158" s="15">
        <f t="shared" si="130"/>
        <v>0</v>
      </c>
      <c r="AV158" s="15">
        <f>COUNTIF(AR158:AU158,"PR")</f>
        <v>0</v>
      </c>
      <c r="AW158" s="15">
        <f t="shared" si="159"/>
        <v>0</v>
      </c>
      <c r="AX158" s="15">
        <f t="shared" si="138"/>
        <v>0</v>
      </c>
      <c r="AY158" s="15">
        <f>AI158+AQ158+AX158</f>
        <v>0</v>
      </c>
      <c r="AZ158" s="15">
        <f>SUM(AG158,AO158,AV158)</f>
        <v>0</v>
      </c>
      <c r="BA158" s="78" t="e">
        <f t="shared" si="171"/>
        <v>#DIV/0!</v>
      </c>
      <c r="BD158" s="1"/>
      <c r="BF158" s="15">
        <f t="shared" si="166"/>
        <v>0</v>
      </c>
      <c r="BG158" s="15">
        <f t="shared" si="131"/>
        <v>0</v>
      </c>
      <c r="BH158" s="15">
        <f t="shared" si="132"/>
        <v>0</v>
      </c>
      <c r="BN158" s="15">
        <f t="shared" si="167"/>
        <v>0</v>
      </c>
      <c r="BO158" s="15">
        <f t="shared" si="160"/>
        <v>0</v>
      </c>
      <c r="BP158" s="15">
        <f t="shared" si="133"/>
        <v>0</v>
      </c>
      <c r="BU158" s="15">
        <f t="shared" si="168"/>
        <v>0</v>
      </c>
      <c r="BV158" s="15">
        <f t="shared" si="134"/>
        <v>0</v>
      </c>
      <c r="BW158" s="15">
        <f t="shared" si="135"/>
        <v>0</v>
      </c>
      <c r="BX158" s="15">
        <f t="shared" si="161"/>
        <v>0</v>
      </c>
      <c r="BY158" s="15">
        <f t="shared" si="162"/>
        <v>0</v>
      </c>
      <c r="BZ158" s="1" t="e">
        <f t="shared" si="172"/>
        <v>#DIV/0!</v>
      </c>
      <c r="CA158" s="82"/>
      <c r="CG158" s="15">
        <f>COUNTIF(CB158:CF158,"PR")</f>
        <v>0</v>
      </c>
      <c r="CH158" s="15">
        <f>COUNTIF(CB158:CF158,"AB")</f>
        <v>0</v>
      </c>
      <c r="CI158" s="15">
        <f t="shared" si="136"/>
        <v>0</v>
      </c>
      <c r="CN158" s="15">
        <f>COUNTIF(CJ158:CM158,"PR")</f>
        <v>0</v>
      </c>
      <c r="CO158" s="15">
        <f>COUNTIF(CJ158:CM158,"AB")</f>
        <v>0</v>
      </c>
      <c r="CP158" s="15">
        <f t="shared" si="137"/>
        <v>0</v>
      </c>
      <c r="CU158" s="15">
        <f t="shared" si="169"/>
        <v>0</v>
      </c>
      <c r="CV158" s="15">
        <f t="shared" si="155"/>
        <v>0</v>
      </c>
      <c r="CW158" s="15">
        <f t="shared" si="156"/>
        <v>0</v>
      </c>
      <c r="CX158" s="15">
        <f>CG158+CN158+CU158</f>
        <v>0</v>
      </c>
      <c r="CY158" s="15" t="e">
        <f>SUM(CE158,#REF!,CS158)</f>
        <v>#REF!</v>
      </c>
      <c r="CZ158" s="1" t="e">
        <f t="shared" si="173"/>
        <v>#REF!</v>
      </c>
      <c r="DA158" s="82"/>
    </row>
    <row r="159" spans="1:105">
      <c r="A159" s="94"/>
      <c r="B159" s="14"/>
      <c r="H159" s="15">
        <f t="shared" si="153"/>
        <v>0</v>
      </c>
      <c r="I159" s="18">
        <f t="shared" si="149"/>
        <v>0</v>
      </c>
      <c r="J159" s="15">
        <f t="shared" si="150"/>
        <v>0</v>
      </c>
      <c r="O159" s="15">
        <f t="shared" si="163"/>
        <v>0</v>
      </c>
      <c r="P159" s="18">
        <f t="shared" si="151"/>
        <v>0</v>
      </c>
      <c r="Q159" s="15">
        <f t="shared" si="152"/>
        <v>0</v>
      </c>
      <c r="V159" s="15">
        <f t="shared" si="157"/>
        <v>0</v>
      </c>
      <c r="W159" s="15">
        <f t="shared" si="158"/>
        <v>0</v>
      </c>
      <c r="X159" s="15">
        <f t="shared" si="139"/>
        <v>0</v>
      </c>
      <c r="Y159" s="15">
        <f>J159+Q159+X159</f>
        <v>0</v>
      </c>
      <c r="Z159" s="15">
        <f>SUM(H159,O159,V159)</f>
        <v>0</v>
      </c>
      <c r="AA159" s="78" t="e">
        <f t="shared" si="170"/>
        <v>#DIV/0!</v>
      </c>
      <c r="AB159" s="82"/>
      <c r="AG159" s="15">
        <f t="shared" si="164"/>
        <v>0</v>
      </c>
      <c r="AH159" s="15">
        <f t="shared" si="127"/>
        <v>0</v>
      </c>
      <c r="AI159" s="15">
        <f t="shared" si="128"/>
        <v>0</v>
      </c>
      <c r="AO159" s="15">
        <f t="shared" si="165"/>
        <v>0</v>
      </c>
      <c r="AP159" s="15">
        <f t="shared" si="129"/>
        <v>0</v>
      </c>
      <c r="AQ159" s="15">
        <f t="shared" si="130"/>
        <v>0</v>
      </c>
      <c r="AV159" s="15">
        <f>COUNTIF(AR159:AU159,"PR")</f>
        <v>0</v>
      </c>
      <c r="AW159" s="15">
        <f t="shared" si="159"/>
        <v>0</v>
      </c>
      <c r="AX159" s="15">
        <f t="shared" si="138"/>
        <v>0</v>
      </c>
      <c r="AY159" s="15">
        <f>AI159+AQ159+AX159</f>
        <v>0</v>
      </c>
      <c r="AZ159" s="15">
        <f>SUM(AG159,AO159,AV159)</f>
        <v>0</v>
      </c>
      <c r="BA159" s="78" t="e">
        <f t="shared" si="171"/>
        <v>#DIV/0!</v>
      </c>
      <c r="BD159" s="1"/>
      <c r="BF159" s="15">
        <f t="shared" si="166"/>
        <v>0</v>
      </c>
      <c r="BG159" s="15">
        <f t="shared" si="131"/>
        <v>0</v>
      </c>
      <c r="BH159" s="15">
        <f t="shared" si="132"/>
        <v>0</v>
      </c>
      <c r="BN159" s="15">
        <f t="shared" si="167"/>
        <v>0</v>
      </c>
      <c r="BO159" s="15">
        <f t="shared" si="160"/>
        <v>0</v>
      </c>
      <c r="BP159" s="15">
        <f t="shared" si="133"/>
        <v>0</v>
      </c>
      <c r="BU159" s="15">
        <f t="shared" si="168"/>
        <v>0</v>
      </c>
      <c r="BV159" s="15">
        <f t="shared" si="134"/>
        <v>0</v>
      </c>
      <c r="BW159" s="15">
        <f t="shared" si="135"/>
        <v>0</v>
      </c>
      <c r="BX159" s="15">
        <f t="shared" si="161"/>
        <v>0</v>
      </c>
      <c r="BY159" s="15">
        <f t="shared" si="162"/>
        <v>0</v>
      </c>
      <c r="BZ159" s="1" t="e">
        <f t="shared" si="172"/>
        <v>#DIV/0!</v>
      </c>
      <c r="CA159" s="82"/>
      <c r="CG159" s="15">
        <f>COUNTIF(CB159:CF159,"PR")</f>
        <v>0</v>
      </c>
      <c r="CH159" s="15">
        <f>COUNTIF(CB159:CF159,"AB")</f>
        <v>0</v>
      </c>
      <c r="CI159" s="15">
        <f t="shared" si="136"/>
        <v>0</v>
      </c>
      <c r="CN159" s="15">
        <f>COUNTIF(CJ159:CM159,"PR")</f>
        <v>0</v>
      </c>
      <c r="CO159" s="15">
        <f>COUNTIF(CJ159:CM159,"AB")</f>
        <v>0</v>
      </c>
      <c r="CP159" s="15">
        <f t="shared" si="137"/>
        <v>0</v>
      </c>
      <c r="CU159" s="15">
        <f t="shared" si="169"/>
        <v>0</v>
      </c>
      <c r="CV159" s="15">
        <f t="shared" si="155"/>
        <v>0</v>
      </c>
      <c r="CW159" s="15">
        <f t="shared" si="156"/>
        <v>0</v>
      </c>
      <c r="CX159" s="15">
        <f>CG159+CN159+CU159</f>
        <v>0</v>
      </c>
      <c r="CY159" s="15" t="e">
        <f>SUM(CE159,#REF!,CS159)</f>
        <v>#REF!</v>
      </c>
      <c r="CZ159" s="1" t="e">
        <f t="shared" si="173"/>
        <v>#REF!</v>
      </c>
      <c r="DA159" s="82"/>
    </row>
    <row r="160" spans="1:105">
      <c r="A160" s="68"/>
      <c r="B160" s="14"/>
      <c r="H160" s="15">
        <f t="shared" si="153"/>
        <v>0</v>
      </c>
      <c r="I160" s="18">
        <f t="shared" si="149"/>
        <v>0</v>
      </c>
      <c r="J160" s="15">
        <f t="shared" si="150"/>
        <v>0</v>
      </c>
      <c r="O160" s="15">
        <f t="shared" si="163"/>
        <v>0</v>
      </c>
      <c r="P160" s="18">
        <f t="shared" si="151"/>
        <v>0</v>
      </c>
      <c r="Q160" s="15">
        <f t="shared" si="152"/>
        <v>0</v>
      </c>
      <c r="V160" s="15">
        <f t="shared" si="157"/>
        <v>0</v>
      </c>
      <c r="W160" s="15">
        <f t="shared" si="158"/>
        <v>0</v>
      </c>
      <c r="X160" s="15">
        <f t="shared" si="139"/>
        <v>0</v>
      </c>
      <c r="Y160" s="15">
        <f>J160+Q160+X160</f>
        <v>0</v>
      </c>
      <c r="Z160" s="15">
        <f>SUM(H160,O160,V160)</f>
        <v>0</v>
      </c>
      <c r="AA160" s="78" t="e">
        <f t="shared" si="170"/>
        <v>#DIV/0!</v>
      </c>
      <c r="AB160" s="82"/>
      <c r="AG160" s="15">
        <f t="shared" si="164"/>
        <v>0</v>
      </c>
      <c r="AH160" s="15">
        <f t="shared" ref="AH160:AH223" si="174">COUNTIF(AC160:AF160,"AB")</f>
        <v>0</v>
      </c>
      <c r="AI160" s="15">
        <f t="shared" ref="AI160:AI223" si="175">AG160+AH160</f>
        <v>0</v>
      </c>
      <c r="AO160" s="15">
        <f t="shared" si="165"/>
        <v>0</v>
      </c>
      <c r="AP160" s="15">
        <f t="shared" ref="AP160:AP223" si="176">COUNTIF(AJ160:AN160,"AB")</f>
        <v>0</v>
      </c>
      <c r="AQ160" s="15">
        <f t="shared" ref="AQ160:AQ223" si="177">AO160+AP160</f>
        <v>0</v>
      </c>
      <c r="AV160" s="15">
        <f>COUNTIF(AR160:AU160,"PR")</f>
        <v>0</v>
      </c>
      <c r="AW160" s="15">
        <f t="shared" si="159"/>
        <v>0</v>
      </c>
      <c r="AX160" s="15">
        <f t="shared" si="138"/>
        <v>0</v>
      </c>
      <c r="AY160" s="15">
        <f>AI160+AQ160+AX160</f>
        <v>0</v>
      </c>
      <c r="AZ160" s="15">
        <f>SUM(AG160,AO160,AV160)</f>
        <v>0</v>
      </c>
      <c r="BA160" s="78" t="e">
        <f t="shared" si="171"/>
        <v>#DIV/0!</v>
      </c>
      <c r="BD160" s="1"/>
      <c r="BF160" s="15">
        <f t="shared" si="166"/>
        <v>0</v>
      </c>
      <c r="BG160" s="15">
        <f t="shared" ref="BG160:BG223" si="178">COUNTIF(BB160:BE160,"AB")</f>
        <v>0</v>
      </c>
      <c r="BH160" s="15">
        <f t="shared" ref="BH160:BH223" si="179">BF160+BG160</f>
        <v>0</v>
      </c>
      <c r="BN160" s="15">
        <f t="shared" si="167"/>
        <v>0</v>
      </c>
      <c r="BO160" s="15">
        <f t="shared" si="160"/>
        <v>0</v>
      </c>
      <c r="BP160" s="15">
        <f t="shared" ref="BP160:BP223" si="180">BN160+BO160</f>
        <v>0</v>
      </c>
      <c r="BU160" s="15">
        <f t="shared" si="168"/>
        <v>0</v>
      </c>
      <c r="BV160" s="15">
        <f t="shared" ref="BV160:BV223" si="181">COUNTIF(BQ160:BT160,"AB")</f>
        <v>0</v>
      </c>
      <c r="BW160" s="15">
        <f t="shared" ref="BW160:BW223" si="182">BU160+BV160</f>
        <v>0</v>
      </c>
      <c r="BX160" s="15">
        <f t="shared" si="161"/>
        <v>0</v>
      </c>
      <c r="BY160" s="15">
        <f t="shared" si="162"/>
        <v>0</v>
      </c>
      <c r="BZ160" s="1" t="e">
        <f t="shared" si="172"/>
        <v>#DIV/0!</v>
      </c>
      <c r="CA160" s="82"/>
      <c r="CG160" s="15">
        <f>COUNTIF(CB160:CF160,"PR")</f>
        <v>0</v>
      </c>
      <c r="CH160" s="15">
        <f>COUNTIF(CB160:CF160,"AB")</f>
        <v>0</v>
      </c>
      <c r="CI160" s="15">
        <f t="shared" ref="CI160:CI223" si="183">CG160+CH160</f>
        <v>0</v>
      </c>
      <c r="CN160" s="15">
        <f>COUNTIF(CJ160:CM160,"PR")</f>
        <v>0</v>
      </c>
      <c r="CO160" s="15">
        <f>COUNTIF(CJ160:CM160,"AB")</f>
        <v>0</v>
      </c>
      <c r="CP160" s="15">
        <f t="shared" ref="CP160:CP223" si="184">CN160+CO160</f>
        <v>0</v>
      </c>
      <c r="CU160" s="15">
        <f t="shared" si="169"/>
        <v>0</v>
      </c>
      <c r="CV160" s="15">
        <f t="shared" si="155"/>
        <v>0</v>
      </c>
      <c r="CW160" s="15">
        <f t="shared" si="156"/>
        <v>0</v>
      </c>
      <c r="CX160" s="15">
        <f>CG160+CN160+CU160</f>
        <v>0</v>
      </c>
      <c r="CY160" s="15" t="e">
        <f>SUM(CE160,#REF!,CS160)</f>
        <v>#REF!</v>
      </c>
      <c r="CZ160" s="1" t="e">
        <f t="shared" si="173"/>
        <v>#REF!</v>
      </c>
      <c r="DA160" s="82"/>
    </row>
    <row r="161" spans="1:105">
      <c r="A161" s="68"/>
      <c r="B161" s="14"/>
      <c r="H161" s="15">
        <f t="shared" si="153"/>
        <v>0</v>
      </c>
      <c r="I161" s="18">
        <f t="shared" si="149"/>
        <v>0</v>
      </c>
      <c r="J161" s="15">
        <f t="shared" si="150"/>
        <v>0</v>
      </c>
      <c r="O161" s="15">
        <f t="shared" si="163"/>
        <v>0</v>
      </c>
      <c r="P161" s="18">
        <f t="shared" si="151"/>
        <v>0</v>
      </c>
      <c r="Q161" s="15">
        <f t="shared" si="152"/>
        <v>0</v>
      </c>
      <c r="V161" s="15">
        <f t="shared" si="157"/>
        <v>0</v>
      </c>
      <c r="W161" s="15">
        <f t="shared" si="158"/>
        <v>0</v>
      </c>
      <c r="X161" s="15">
        <f t="shared" si="139"/>
        <v>0</v>
      </c>
      <c r="Y161" s="15">
        <f>J161+Q161+X161</f>
        <v>0</v>
      </c>
      <c r="Z161" s="15">
        <f>SUM(H161,O161,V161)</f>
        <v>0</v>
      </c>
      <c r="AA161" s="78" t="e">
        <f t="shared" si="170"/>
        <v>#DIV/0!</v>
      </c>
      <c r="AB161" s="82"/>
      <c r="AG161" s="15">
        <f t="shared" si="164"/>
        <v>0</v>
      </c>
      <c r="AH161" s="15">
        <f t="shared" si="174"/>
        <v>0</v>
      </c>
      <c r="AI161" s="15">
        <f t="shared" si="175"/>
        <v>0</v>
      </c>
      <c r="AO161" s="15">
        <f t="shared" si="165"/>
        <v>0</v>
      </c>
      <c r="AP161" s="15">
        <f t="shared" si="176"/>
        <v>0</v>
      </c>
      <c r="AQ161" s="15">
        <f t="shared" si="177"/>
        <v>0</v>
      </c>
      <c r="AV161" s="15">
        <f>COUNTIF(AR161:AU161,"PR")</f>
        <v>0</v>
      </c>
      <c r="AW161" s="15">
        <f t="shared" si="159"/>
        <v>0</v>
      </c>
      <c r="AX161" s="15">
        <f t="shared" ref="AX161:AX224" si="185">AV161+AW161</f>
        <v>0</v>
      </c>
      <c r="AY161" s="15">
        <f>AI161+AQ161+AX161</f>
        <v>0</v>
      </c>
      <c r="AZ161" s="15">
        <f>SUM(AG161,AO161,AV161)</f>
        <v>0</v>
      </c>
      <c r="BA161" s="78" t="e">
        <f t="shared" si="171"/>
        <v>#DIV/0!</v>
      </c>
      <c r="BD161" s="1"/>
      <c r="BF161" s="15">
        <f t="shared" si="166"/>
        <v>0</v>
      </c>
      <c r="BG161" s="15">
        <f t="shared" si="178"/>
        <v>0</v>
      </c>
      <c r="BH161" s="15">
        <f t="shared" si="179"/>
        <v>0</v>
      </c>
      <c r="BN161" s="15">
        <f t="shared" si="167"/>
        <v>0</v>
      </c>
      <c r="BO161" s="15">
        <f t="shared" si="160"/>
        <v>0</v>
      </c>
      <c r="BP161" s="15">
        <f t="shared" si="180"/>
        <v>0</v>
      </c>
      <c r="BU161" s="15">
        <f t="shared" si="168"/>
        <v>0</v>
      </c>
      <c r="BV161" s="15">
        <f t="shared" si="181"/>
        <v>0</v>
      </c>
      <c r="BW161" s="15">
        <f t="shared" si="182"/>
        <v>0</v>
      </c>
      <c r="BX161" s="15">
        <f t="shared" si="161"/>
        <v>0</v>
      </c>
      <c r="BY161" s="15">
        <f t="shared" si="162"/>
        <v>0</v>
      </c>
      <c r="BZ161" s="1" t="e">
        <f t="shared" si="172"/>
        <v>#DIV/0!</v>
      </c>
      <c r="CA161" s="82"/>
      <c r="CG161" s="15">
        <f>COUNTIF(CB161:CF161,"PR")</f>
        <v>0</v>
      </c>
      <c r="CH161" s="15">
        <f>COUNTIF(CB161:CF161,"AB")</f>
        <v>0</v>
      </c>
      <c r="CI161" s="15">
        <f t="shared" si="183"/>
        <v>0</v>
      </c>
      <c r="CN161" s="15">
        <f>COUNTIF(CJ161:CM161,"PR")</f>
        <v>0</v>
      </c>
      <c r="CO161" s="15">
        <f>COUNTIF(CJ161:CM161,"AB")</f>
        <v>0</v>
      </c>
      <c r="CP161" s="15">
        <f t="shared" si="184"/>
        <v>0</v>
      </c>
      <c r="CU161" s="15">
        <f t="shared" si="169"/>
        <v>0</v>
      </c>
      <c r="CV161" s="15">
        <f t="shared" si="155"/>
        <v>0</v>
      </c>
      <c r="CW161" s="15">
        <f t="shared" si="156"/>
        <v>0</v>
      </c>
      <c r="CX161" s="15">
        <f>CG161+CN161+CU161</f>
        <v>0</v>
      </c>
      <c r="CY161" s="15" t="e">
        <f>SUM(CE161,#REF!,CS161)</f>
        <v>#REF!</v>
      </c>
      <c r="CZ161" s="1" t="e">
        <f t="shared" si="173"/>
        <v>#REF!</v>
      </c>
      <c r="DA161" s="82"/>
    </row>
    <row r="162" spans="1:105">
      <c r="A162" s="68"/>
      <c r="B162" s="14"/>
      <c r="H162" s="15">
        <f t="shared" si="153"/>
        <v>0</v>
      </c>
      <c r="I162" s="18">
        <f t="shared" si="149"/>
        <v>0</v>
      </c>
      <c r="J162" s="15">
        <f t="shared" si="150"/>
        <v>0</v>
      </c>
      <c r="O162" s="15">
        <f t="shared" si="163"/>
        <v>0</v>
      </c>
      <c r="P162" s="18">
        <f t="shared" si="151"/>
        <v>0</v>
      </c>
      <c r="Q162" s="15">
        <f t="shared" si="152"/>
        <v>0</v>
      </c>
      <c r="V162" s="15">
        <f t="shared" si="157"/>
        <v>0</v>
      </c>
      <c r="W162" s="15">
        <f t="shared" si="158"/>
        <v>0</v>
      </c>
      <c r="X162" s="15">
        <f t="shared" ref="X162:X225" si="186">V162+W162</f>
        <v>0</v>
      </c>
      <c r="Y162" s="15">
        <f>J162+Q162+X162</f>
        <v>0</v>
      </c>
      <c r="Z162" s="15">
        <f>SUM(H162,O162,V162)</f>
        <v>0</v>
      </c>
      <c r="AA162" s="78" t="e">
        <f t="shared" si="170"/>
        <v>#DIV/0!</v>
      </c>
      <c r="AB162" s="82"/>
      <c r="AG162" s="15">
        <f t="shared" si="164"/>
        <v>0</v>
      </c>
      <c r="AH162" s="15">
        <f t="shared" si="174"/>
        <v>0</v>
      </c>
      <c r="AI162" s="15">
        <f t="shared" si="175"/>
        <v>0</v>
      </c>
      <c r="AO162" s="15">
        <f t="shared" si="165"/>
        <v>0</v>
      </c>
      <c r="AP162" s="15">
        <f t="shared" si="176"/>
        <v>0</v>
      </c>
      <c r="AQ162" s="15">
        <f t="shared" si="177"/>
        <v>0</v>
      </c>
      <c r="AV162" s="15">
        <f>COUNTIF(AR162:AU162,"PR")</f>
        <v>0</v>
      </c>
      <c r="AW162" s="15">
        <f t="shared" si="159"/>
        <v>0</v>
      </c>
      <c r="AX162" s="15">
        <f t="shared" si="185"/>
        <v>0</v>
      </c>
      <c r="AY162" s="15">
        <f>AI162+AQ162+AX162</f>
        <v>0</v>
      </c>
      <c r="AZ162" s="15">
        <f>SUM(AG162,AO162,AV162)</f>
        <v>0</v>
      </c>
      <c r="BA162" s="78" t="e">
        <f t="shared" si="171"/>
        <v>#DIV/0!</v>
      </c>
      <c r="BD162" s="1"/>
      <c r="BF162" s="15">
        <f t="shared" si="166"/>
        <v>0</v>
      </c>
      <c r="BG162" s="15">
        <f t="shared" si="178"/>
        <v>0</v>
      </c>
      <c r="BH162" s="15">
        <f t="shared" si="179"/>
        <v>0</v>
      </c>
      <c r="BN162" s="15">
        <f t="shared" si="167"/>
        <v>0</v>
      </c>
      <c r="BO162" s="15">
        <f t="shared" si="160"/>
        <v>0</v>
      </c>
      <c r="BP162" s="15">
        <f t="shared" si="180"/>
        <v>0</v>
      </c>
      <c r="BU162" s="15">
        <f t="shared" si="168"/>
        <v>0</v>
      </c>
      <c r="BV162" s="15">
        <f t="shared" si="181"/>
        <v>0</v>
      </c>
      <c r="BW162" s="15">
        <f t="shared" si="182"/>
        <v>0</v>
      </c>
      <c r="BX162" s="15">
        <f t="shared" si="161"/>
        <v>0</v>
      </c>
      <c r="BY162" s="15">
        <f t="shared" si="162"/>
        <v>0</v>
      </c>
      <c r="BZ162" s="1" t="e">
        <f t="shared" si="172"/>
        <v>#DIV/0!</v>
      </c>
      <c r="CA162" s="82"/>
      <c r="CG162" s="15">
        <f>COUNTIF(CB162:CF162,"PR")</f>
        <v>0</v>
      </c>
      <c r="CH162" s="15">
        <f>COUNTIF(CB162:CF162,"AB")</f>
        <v>0</v>
      </c>
      <c r="CI162" s="15">
        <f t="shared" si="183"/>
        <v>0</v>
      </c>
      <c r="CN162" s="15">
        <f>COUNTIF(CJ162:CM162,"PR")</f>
        <v>0</v>
      </c>
      <c r="CO162" s="15">
        <f>COUNTIF(CJ162:CM162,"AB")</f>
        <v>0</v>
      </c>
      <c r="CP162" s="15">
        <f t="shared" si="184"/>
        <v>0</v>
      </c>
      <c r="CU162" s="15">
        <f t="shared" si="169"/>
        <v>0</v>
      </c>
      <c r="CV162" s="15">
        <f t="shared" si="155"/>
        <v>0</v>
      </c>
      <c r="CW162" s="15">
        <f t="shared" si="156"/>
        <v>0</v>
      </c>
      <c r="CX162" s="15">
        <f>CG162+CN162+CU162</f>
        <v>0</v>
      </c>
      <c r="CY162" s="15" t="e">
        <f>SUM(CE162,#REF!,CS162)</f>
        <v>#REF!</v>
      </c>
      <c r="CZ162" s="1" t="e">
        <f t="shared" si="173"/>
        <v>#REF!</v>
      </c>
      <c r="DA162" s="82"/>
    </row>
    <row r="163" spans="1:105">
      <c r="A163" s="68"/>
      <c r="B163" s="14"/>
      <c r="H163" s="15">
        <f t="shared" si="153"/>
        <v>0</v>
      </c>
      <c r="I163" s="18">
        <f t="shared" si="149"/>
        <v>0</v>
      </c>
      <c r="J163" s="15">
        <f t="shared" si="150"/>
        <v>0</v>
      </c>
      <c r="O163" s="15">
        <f t="shared" si="163"/>
        <v>0</v>
      </c>
      <c r="P163" s="18">
        <f t="shared" si="151"/>
        <v>0</v>
      </c>
      <c r="Q163" s="15">
        <f t="shared" si="152"/>
        <v>0</v>
      </c>
      <c r="V163" s="15">
        <f t="shared" si="157"/>
        <v>0</v>
      </c>
      <c r="W163" s="15">
        <f t="shared" si="158"/>
        <v>0</v>
      </c>
      <c r="X163" s="15">
        <f t="shared" si="186"/>
        <v>0</v>
      </c>
      <c r="Y163" s="15">
        <f>J163+Q163+X163</f>
        <v>0</v>
      </c>
      <c r="Z163" s="15">
        <f>SUM(H163,O163,V163)</f>
        <v>0</v>
      </c>
      <c r="AA163" s="78" t="e">
        <f t="shared" si="170"/>
        <v>#DIV/0!</v>
      </c>
      <c r="AB163" s="82"/>
      <c r="AG163" s="15">
        <f t="shared" si="164"/>
        <v>0</v>
      </c>
      <c r="AH163" s="15">
        <f t="shared" si="174"/>
        <v>0</v>
      </c>
      <c r="AI163" s="15">
        <f t="shared" si="175"/>
        <v>0</v>
      </c>
      <c r="AO163" s="15">
        <f t="shared" si="165"/>
        <v>0</v>
      </c>
      <c r="AP163" s="15">
        <f t="shared" si="176"/>
        <v>0</v>
      </c>
      <c r="AQ163" s="15">
        <f t="shared" si="177"/>
        <v>0</v>
      </c>
      <c r="AV163" s="15">
        <f>COUNTIF(AR163:AU163,"PR")</f>
        <v>0</v>
      </c>
      <c r="AW163" s="15">
        <f t="shared" si="159"/>
        <v>0</v>
      </c>
      <c r="AX163" s="15">
        <f t="shared" si="185"/>
        <v>0</v>
      </c>
      <c r="AY163" s="15">
        <f>AI163+AQ163+AX163</f>
        <v>0</v>
      </c>
      <c r="AZ163" s="15">
        <f>SUM(AG163,AO163,AV163)</f>
        <v>0</v>
      </c>
      <c r="BA163" s="78" t="e">
        <f t="shared" si="171"/>
        <v>#DIV/0!</v>
      </c>
      <c r="BD163" s="1"/>
      <c r="BF163" s="15">
        <f t="shared" si="166"/>
        <v>0</v>
      </c>
      <c r="BG163" s="15">
        <f t="shared" si="178"/>
        <v>0</v>
      </c>
      <c r="BH163" s="15">
        <f t="shared" si="179"/>
        <v>0</v>
      </c>
      <c r="BN163" s="15">
        <f t="shared" si="167"/>
        <v>0</v>
      </c>
      <c r="BO163" s="15">
        <f t="shared" si="160"/>
        <v>0</v>
      </c>
      <c r="BP163" s="15">
        <f t="shared" si="180"/>
        <v>0</v>
      </c>
      <c r="BU163" s="15">
        <f t="shared" si="168"/>
        <v>0</v>
      </c>
      <c r="BV163" s="15">
        <f t="shared" si="181"/>
        <v>0</v>
      </c>
      <c r="BW163" s="15">
        <f t="shared" si="182"/>
        <v>0</v>
      </c>
      <c r="BX163" s="15">
        <f t="shared" si="161"/>
        <v>0</v>
      </c>
      <c r="BY163" s="15">
        <f t="shared" si="162"/>
        <v>0</v>
      </c>
      <c r="BZ163" s="1" t="e">
        <f t="shared" si="172"/>
        <v>#DIV/0!</v>
      </c>
      <c r="CA163" s="82"/>
      <c r="CG163" s="15">
        <f>COUNTIF(CB163:CF163,"PR")</f>
        <v>0</v>
      </c>
      <c r="CH163" s="15">
        <f>COUNTIF(CB163:CF163,"AB")</f>
        <v>0</v>
      </c>
      <c r="CI163" s="15">
        <f t="shared" si="183"/>
        <v>0</v>
      </c>
      <c r="CN163" s="15">
        <f>COUNTIF(CJ163:CM163,"PR")</f>
        <v>0</v>
      </c>
      <c r="CO163" s="15">
        <f>COUNTIF(CJ163:CM163,"AB")</f>
        <v>0</v>
      </c>
      <c r="CP163" s="15">
        <f t="shared" si="184"/>
        <v>0</v>
      </c>
      <c r="CU163" s="15">
        <f t="shared" si="169"/>
        <v>0</v>
      </c>
      <c r="CV163" s="15">
        <f t="shared" si="155"/>
        <v>0</v>
      </c>
      <c r="CW163" s="15">
        <f t="shared" si="156"/>
        <v>0</v>
      </c>
      <c r="CX163" s="15">
        <f>CG163+CN163+CU163</f>
        <v>0</v>
      </c>
      <c r="CY163" s="15" t="e">
        <f>SUM(CE163,#REF!,CS163)</f>
        <v>#REF!</v>
      </c>
      <c r="CZ163" s="1" t="e">
        <f t="shared" si="173"/>
        <v>#REF!</v>
      </c>
      <c r="DA163" s="82"/>
    </row>
    <row r="164" spans="1:105">
      <c r="A164" s="68"/>
      <c r="B164" s="14"/>
      <c r="H164" s="15">
        <f t="shared" si="153"/>
        <v>0</v>
      </c>
      <c r="I164" s="18">
        <f t="shared" si="149"/>
        <v>0</v>
      </c>
      <c r="J164" s="15">
        <f t="shared" si="150"/>
        <v>0</v>
      </c>
      <c r="O164" s="15">
        <f t="shared" si="163"/>
        <v>0</v>
      </c>
      <c r="P164" s="18">
        <f t="shared" si="151"/>
        <v>0</v>
      </c>
      <c r="Q164" s="15">
        <f t="shared" si="152"/>
        <v>0</v>
      </c>
      <c r="V164" s="15">
        <f t="shared" si="157"/>
        <v>0</v>
      </c>
      <c r="W164" s="15">
        <f t="shared" si="158"/>
        <v>0</v>
      </c>
      <c r="X164" s="15">
        <f t="shared" si="186"/>
        <v>0</v>
      </c>
      <c r="Y164" s="15">
        <f>J164+Q164+X164</f>
        <v>0</v>
      </c>
      <c r="Z164" s="15">
        <f>SUM(H164,O164,V164)</f>
        <v>0</v>
      </c>
      <c r="AA164" s="78" t="e">
        <f t="shared" si="170"/>
        <v>#DIV/0!</v>
      </c>
      <c r="AB164" s="82"/>
      <c r="AG164" s="15">
        <f t="shared" si="164"/>
        <v>0</v>
      </c>
      <c r="AH164" s="15">
        <f t="shared" si="174"/>
        <v>0</v>
      </c>
      <c r="AI164" s="15">
        <f t="shared" si="175"/>
        <v>0</v>
      </c>
      <c r="AO164" s="15">
        <f t="shared" si="165"/>
        <v>0</v>
      </c>
      <c r="AP164" s="15">
        <f t="shared" si="176"/>
        <v>0</v>
      </c>
      <c r="AQ164" s="15">
        <f t="shared" si="177"/>
        <v>0</v>
      </c>
      <c r="AV164" s="15">
        <f>COUNTIF(AR164:AU164,"PR")</f>
        <v>0</v>
      </c>
      <c r="AW164" s="15">
        <f t="shared" si="159"/>
        <v>0</v>
      </c>
      <c r="AX164" s="15">
        <f t="shared" si="185"/>
        <v>0</v>
      </c>
      <c r="AY164" s="15">
        <f>AI164+AQ164+AX164</f>
        <v>0</v>
      </c>
      <c r="AZ164" s="15">
        <f>SUM(AG164,AO164,AV164)</f>
        <v>0</v>
      </c>
      <c r="BA164" s="78" t="e">
        <f t="shared" si="171"/>
        <v>#DIV/0!</v>
      </c>
      <c r="BD164" s="1"/>
      <c r="BF164" s="15">
        <f t="shared" si="166"/>
        <v>0</v>
      </c>
      <c r="BG164" s="15">
        <f t="shared" si="178"/>
        <v>0</v>
      </c>
      <c r="BH164" s="15">
        <f t="shared" si="179"/>
        <v>0</v>
      </c>
      <c r="BN164" s="15">
        <f t="shared" si="167"/>
        <v>0</v>
      </c>
      <c r="BO164" s="15">
        <f t="shared" si="160"/>
        <v>0</v>
      </c>
      <c r="BP164" s="15">
        <f t="shared" si="180"/>
        <v>0</v>
      </c>
      <c r="BU164" s="15">
        <f t="shared" si="168"/>
        <v>0</v>
      </c>
      <c r="BV164" s="15">
        <f t="shared" si="181"/>
        <v>0</v>
      </c>
      <c r="BW164" s="15">
        <f t="shared" si="182"/>
        <v>0</v>
      </c>
      <c r="BX164" s="15">
        <f t="shared" si="161"/>
        <v>0</v>
      </c>
      <c r="BY164" s="15">
        <f t="shared" si="162"/>
        <v>0</v>
      </c>
      <c r="BZ164" s="1" t="e">
        <f t="shared" si="172"/>
        <v>#DIV/0!</v>
      </c>
      <c r="CA164" s="82"/>
      <c r="CG164" s="15">
        <f>COUNTIF(CB164:CF164,"PR")</f>
        <v>0</v>
      </c>
      <c r="CH164" s="15">
        <f>COUNTIF(CB164:CF164,"AB")</f>
        <v>0</v>
      </c>
      <c r="CI164" s="15">
        <f t="shared" si="183"/>
        <v>0</v>
      </c>
      <c r="CN164" s="15">
        <f>COUNTIF(CJ164:CM164,"PR")</f>
        <v>0</v>
      </c>
      <c r="CO164" s="15">
        <f>COUNTIF(CJ164:CM164,"AB")</f>
        <v>0</v>
      </c>
      <c r="CP164" s="15">
        <f t="shared" si="184"/>
        <v>0</v>
      </c>
      <c r="CU164" s="15">
        <f t="shared" si="169"/>
        <v>0</v>
      </c>
      <c r="CV164" s="15">
        <f t="shared" si="155"/>
        <v>0</v>
      </c>
      <c r="CW164" s="15">
        <f t="shared" si="156"/>
        <v>0</v>
      </c>
      <c r="CX164" s="15">
        <f>CG164+CN164+CU164</f>
        <v>0</v>
      </c>
      <c r="CY164" s="15" t="e">
        <f>SUM(CE164,#REF!,CS164)</f>
        <v>#REF!</v>
      </c>
      <c r="CZ164" s="1" t="e">
        <f t="shared" si="173"/>
        <v>#REF!</v>
      </c>
      <c r="DA164" s="82"/>
    </row>
    <row r="165" spans="1:105">
      <c r="A165" s="68"/>
      <c r="B165" s="14"/>
      <c r="H165" s="15">
        <f t="shared" si="153"/>
        <v>0</v>
      </c>
      <c r="I165" s="18">
        <f t="shared" si="149"/>
        <v>0</v>
      </c>
      <c r="J165" s="15">
        <f t="shared" si="150"/>
        <v>0</v>
      </c>
      <c r="O165" s="15">
        <f t="shared" si="163"/>
        <v>0</v>
      </c>
      <c r="P165" s="18">
        <f t="shared" si="151"/>
        <v>0</v>
      </c>
      <c r="Q165" s="15">
        <f t="shared" si="152"/>
        <v>0</v>
      </c>
      <c r="V165" s="15">
        <f t="shared" si="157"/>
        <v>0</v>
      </c>
      <c r="W165" s="15">
        <f t="shared" si="158"/>
        <v>0</v>
      </c>
      <c r="X165" s="15">
        <f t="shared" si="186"/>
        <v>0</v>
      </c>
      <c r="Y165" s="15">
        <f>J165+Q165+X165</f>
        <v>0</v>
      </c>
      <c r="Z165" s="15">
        <f>SUM(H165,O165,V165)</f>
        <v>0</v>
      </c>
      <c r="AA165" s="78" t="e">
        <f t="shared" si="170"/>
        <v>#DIV/0!</v>
      </c>
      <c r="AB165" s="82"/>
      <c r="AG165" s="15">
        <f t="shared" si="164"/>
        <v>0</v>
      </c>
      <c r="AH165" s="15">
        <f t="shared" si="174"/>
        <v>0</v>
      </c>
      <c r="AI165" s="15">
        <f t="shared" si="175"/>
        <v>0</v>
      </c>
      <c r="AO165" s="15">
        <f t="shared" si="165"/>
        <v>0</v>
      </c>
      <c r="AP165" s="15">
        <f t="shared" si="176"/>
        <v>0</v>
      </c>
      <c r="AQ165" s="15">
        <f t="shared" si="177"/>
        <v>0</v>
      </c>
      <c r="AV165" s="15">
        <f>COUNTIF(AR165:AU165,"PR")</f>
        <v>0</v>
      </c>
      <c r="AW165" s="15">
        <f t="shared" si="159"/>
        <v>0</v>
      </c>
      <c r="AX165" s="15">
        <f t="shared" si="185"/>
        <v>0</v>
      </c>
      <c r="AY165" s="15">
        <f>AI165+AQ165+AX165</f>
        <v>0</v>
      </c>
      <c r="AZ165" s="15">
        <f>SUM(AG165,AO165,AV165)</f>
        <v>0</v>
      </c>
      <c r="BA165" s="78" t="e">
        <f t="shared" si="171"/>
        <v>#DIV/0!</v>
      </c>
      <c r="BD165" s="1"/>
      <c r="BF165" s="15">
        <f t="shared" si="166"/>
        <v>0</v>
      </c>
      <c r="BG165" s="15">
        <f t="shared" si="178"/>
        <v>0</v>
      </c>
      <c r="BH165" s="15">
        <f t="shared" si="179"/>
        <v>0</v>
      </c>
      <c r="BN165" s="15">
        <f t="shared" si="167"/>
        <v>0</v>
      </c>
      <c r="BO165" s="15">
        <f t="shared" si="160"/>
        <v>0</v>
      </c>
      <c r="BP165" s="15">
        <f t="shared" si="180"/>
        <v>0</v>
      </c>
      <c r="BU165" s="15">
        <f t="shared" si="168"/>
        <v>0</v>
      </c>
      <c r="BV165" s="15">
        <f t="shared" si="181"/>
        <v>0</v>
      </c>
      <c r="BW165" s="15">
        <f t="shared" si="182"/>
        <v>0</v>
      </c>
      <c r="BX165" s="15">
        <f t="shared" si="161"/>
        <v>0</v>
      </c>
      <c r="BY165" s="15">
        <f t="shared" si="162"/>
        <v>0</v>
      </c>
      <c r="BZ165" s="1" t="e">
        <f t="shared" si="172"/>
        <v>#DIV/0!</v>
      </c>
      <c r="CA165" s="82"/>
      <c r="CG165" s="15">
        <f>COUNTIF(CB165:CF165,"PR")</f>
        <v>0</v>
      </c>
      <c r="CH165" s="15">
        <f>COUNTIF(CB165:CF165,"AB")</f>
        <v>0</v>
      </c>
      <c r="CI165" s="15">
        <f t="shared" si="183"/>
        <v>0</v>
      </c>
      <c r="CN165" s="15">
        <f>COUNTIF(CJ165:CM165,"PR")</f>
        <v>0</v>
      </c>
      <c r="CO165" s="15">
        <f>COUNTIF(CJ165:CM165,"AB")</f>
        <v>0</v>
      </c>
      <c r="CP165" s="15">
        <f t="shared" si="184"/>
        <v>0</v>
      </c>
      <c r="CU165" s="15">
        <f t="shared" si="169"/>
        <v>0</v>
      </c>
      <c r="CV165" s="15">
        <f t="shared" si="155"/>
        <v>0</v>
      </c>
      <c r="CW165" s="15">
        <f t="shared" si="156"/>
        <v>0</v>
      </c>
      <c r="CX165" s="15">
        <f>CG165+CN165+CU165</f>
        <v>0</v>
      </c>
      <c r="CY165" s="15" t="e">
        <f>SUM(CE165,#REF!,CS165)</f>
        <v>#REF!</v>
      </c>
      <c r="CZ165" s="1" t="e">
        <f t="shared" si="173"/>
        <v>#REF!</v>
      </c>
      <c r="DA165" s="82"/>
    </row>
    <row r="166" spans="1:105">
      <c r="A166" s="68"/>
      <c r="B166" s="14"/>
      <c r="H166" s="15">
        <f t="shared" si="153"/>
        <v>0</v>
      </c>
      <c r="I166" s="18">
        <f t="shared" si="149"/>
        <v>0</v>
      </c>
      <c r="J166" s="15">
        <f t="shared" si="150"/>
        <v>0</v>
      </c>
      <c r="O166" s="15">
        <f t="shared" si="163"/>
        <v>0</v>
      </c>
      <c r="P166" s="18">
        <f t="shared" si="151"/>
        <v>0</v>
      </c>
      <c r="Q166" s="15">
        <f t="shared" si="152"/>
        <v>0</v>
      </c>
      <c r="V166" s="15">
        <f t="shared" si="157"/>
        <v>0</v>
      </c>
      <c r="W166" s="15">
        <f t="shared" si="158"/>
        <v>0</v>
      </c>
      <c r="X166" s="15">
        <f t="shared" si="186"/>
        <v>0</v>
      </c>
      <c r="Y166" s="15">
        <f>J166+Q166+X166</f>
        <v>0</v>
      </c>
      <c r="Z166" s="15">
        <f>SUM(H166,O166,V166)</f>
        <v>0</v>
      </c>
      <c r="AA166" s="78" t="e">
        <f t="shared" si="170"/>
        <v>#DIV/0!</v>
      </c>
      <c r="AB166" s="82"/>
      <c r="AG166" s="15">
        <f t="shared" si="164"/>
        <v>0</v>
      </c>
      <c r="AH166" s="15">
        <f t="shared" si="174"/>
        <v>0</v>
      </c>
      <c r="AI166" s="15">
        <f t="shared" si="175"/>
        <v>0</v>
      </c>
      <c r="AO166" s="15">
        <f t="shared" si="165"/>
        <v>0</v>
      </c>
      <c r="AP166" s="15">
        <f t="shared" si="176"/>
        <v>0</v>
      </c>
      <c r="AQ166" s="15">
        <f t="shared" si="177"/>
        <v>0</v>
      </c>
      <c r="AV166" s="15">
        <f>COUNTIF(AR166:AU166,"PR")</f>
        <v>0</v>
      </c>
      <c r="AW166" s="15">
        <f t="shared" si="159"/>
        <v>0</v>
      </c>
      <c r="AX166" s="15">
        <f t="shared" si="185"/>
        <v>0</v>
      </c>
      <c r="AY166" s="15">
        <f>AI166+AQ166+AX166</f>
        <v>0</v>
      </c>
      <c r="AZ166" s="15">
        <f>SUM(AG166,AO166,AV166)</f>
        <v>0</v>
      </c>
      <c r="BA166" s="78" t="e">
        <f t="shared" si="171"/>
        <v>#DIV/0!</v>
      </c>
      <c r="BD166" s="1"/>
      <c r="BF166" s="15">
        <f t="shared" si="166"/>
        <v>0</v>
      </c>
      <c r="BG166" s="15">
        <f t="shared" si="178"/>
        <v>0</v>
      </c>
      <c r="BH166" s="15">
        <f t="shared" si="179"/>
        <v>0</v>
      </c>
      <c r="BN166" s="15">
        <f t="shared" si="167"/>
        <v>0</v>
      </c>
      <c r="BO166" s="15">
        <f t="shared" si="160"/>
        <v>0</v>
      </c>
      <c r="BP166" s="15">
        <f t="shared" si="180"/>
        <v>0</v>
      </c>
      <c r="BU166" s="15">
        <f t="shared" si="168"/>
        <v>0</v>
      </c>
      <c r="BV166" s="15">
        <f t="shared" si="181"/>
        <v>0</v>
      </c>
      <c r="BW166" s="15">
        <f t="shared" si="182"/>
        <v>0</v>
      </c>
      <c r="BX166" s="15">
        <f t="shared" si="161"/>
        <v>0</v>
      </c>
      <c r="BY166" s="15">
        <f t="shared" si="162"/>
        <v>0</v>
      </c>
      <c r="BZ166" s="1" t="e">
        <f t="shared" si="172"/>
        <v>#DIV/0!</v>
      </c>
      <c r="CA166" s="82"/>
      <c r="CG166" s="15">
        <f>COUNTIF(CB166:CF166,"PR")</f>
        <v>0</v>
      </c>
      <c r="CH166" s="15">
        <f>COUNTIF(CB166:CF166,"AB")</f>
        <v>0</v>
      </c>
      <c r="CI166" s="15">
        <f t="shared" si="183"/>
        <v>0</v>
      </c>
      <c r="CN166" s="15">
        <f>COUNTIF(CJ166:CM166,"PR")</f>
        <v>0</v>
      </c>
      <c r="CO166" s="15">
        <f>COUNTIF(CJ166:CM166,"AB")</f>
        <v>0</v>
      </c>
      <c r="CP166" s="15">
        <f t="shared" si="184"/>
        <v>0</v>
      </c>
      <c r="CU166" s="15">
        <f t="shared" si="169"/>
        <v>0</v>
      </c>
      <c r="CV166" s="15">
        <f t="shared" si="155"/>
        <v>0</v>
      </c>
      <c r="CW166" s="15">
        <f t="shared" si="156"/>
        <v>0</v>
      </c>
      <c r="CX166" s="15">
        <f>CG166+CN166+CU166</f>
        <v>0</v>
      </c>
      <c r="CY166" s="15" t="e">
        <f>SUM(CE166,#REF!,CS166)</f>
        <v>#REF!</v>
      </c>
      <c r="CZ166" s="1" t="e">
        <f t="shared" si="173"/>
        <v>#REF!</v>
      </c>
      <c r="DA166" s="82"/>
    </row>
    <row r="167" spans="1:105">
      <c r="A167" s="68"/>
      <c r="B167" s="14"/>
      <c r="H167" s="15">
        <f t="shared" si="153"/>
        <v>0</v>
      </c>
      <c r="I167" s="18">
        <f t="shared" si="149"/>
        <v>0</v>
      </c>
      <c r="J167" s="15">
        <f t="shared" si="150"/>
        <v>0</v>
      </c>
      <c r="O167" s="15">
        <f t="shared" si="163"/>
        <v>0</v>
      </c>
      <c r="P167" s="18">
        <f t="shared" si="151"/>
        <v>0</v>
      </c>
      <c r="Q167" s="15">
        <f t="shared" si="152"/>
        <v>0</v>
      </c>
      <c r="V167" s="15">
        <f t="shared" si="157"/>
        <v>0</v>
      </c>
      <c r="W167" s="15">
        <f t="shared" si="158"/>
        <v>0</v>
      </c>
      <c r="X167" s="15">
        <f t="shared" si="186"/>
        <v>0</v>
      </c>
      <c r="Y167" s="15">
        <f>J167+Q167+X167</f>
        <v>0</v>
      </c>
      <c r="Z167" s="15">
        <f>SUM(H167,O167,V167)</f>
        <v>0</v>
      </c>
      <c r="AA167" s="78" t="e">
        <f t="shared" si="170"/>
        <v>#DIV/0!</v>
      </c>
      <c r="AB167" s="82"/>
      <c r="AG167" s="15">
        <f t="shared" si="164"/>
        <v>0</v>
      </c>
      <c r="AH167" s="15">
        <f t="shared" si="174"/>
        <v>0</v>
      </c>
      <c r="AI167" s="15">
        <f t="shared" si="175"/>
        <v>0</v>
      </c>
      <c r="AO167" s="15">
        <f t="shared" si="165"/>
        <v>0</v>
      </c>
      <c r="AP167" s="15">
        <f t="shared" si="176"/>
        <v>0</v>
      </c>
      <c r="AQ167" s="15">
        <f t="shared" si="177"/>
        <v>0</v>
      </c>
      <c r="AV167" s="15">
        <f>COUNTIF(AR167:AU167,"PR")</f>
        <v>0</v>
      </c>
      <c r="AW167" s="15">
        <f t="shared" si="159"/>
        <v>0</v>
      </c>
      <c r="AX167" s="15">
        <f t="shared" si="185"/>
        <v>0</v>
      </c>
      <c r="AY167" s="15">
        <f>AI167+AQ167+AX167</f>
        <v>0</v>
      </c>
      <c r="AZ167" s="15">
        <f>SUM(AG167,AO167,AV167)</f>
        <v>0</v>
      </c>
      <c r="BA167" s="78" t="e">
        <f t="shared" si="171"/>
        <v>#DIV/0!</v>
      </c>
      <c r="BD167" s="1"/>
      <c r="BF167" s="15">
        <f t="shared" si="166"/>
        <v>0</v>
      </c>
      <c r="BG167" s="15">
        <f t="shared" si="178"/>
        <v>0</v>
      </c>
      <c r="BH167" s="15">
        <f t="shared" si="179"/>
        <v>0</v>
      </c>
      <c r="BN167" s="15">
        <f t="shared" si="167"/>
        <v>0</v>
      </c>
      <c r="BO167" s="15">
        <f t="shared" si="160"/>
        <v>0</v>
      </c>
      <c r="BP167" s="15">
        <f t="shared" si="180"/>
        <v>0</v>
      </c>
      <c r="BU167" s="15">
        <f t="shared" si="168"/>
        <v>0</v>
      </c>
      <c r="BV167" s="15">
        <f t="shared" si="181"/>
        <v>0</v>
      </c>
      <c r="BW167" s="15">
        <f t="shared" si="182"/>
        <v>0</v>
      </c>
      <c r="BX167" s="15">
        <f t="shared" si="161"/>
        <v>0</v>
      </c>
      <c r="BY167" s="15">
        <f t="shared" si="162"/>
        <v>0</v>
      </c>
      <c r="BZ167" s="1" t="e">
        <f t="shared" si="172"/>
        <v>#DIV/0!</v>
      </c>
      <c r="CA167" s="82"/>
      <c r="CG167" s="15">
        <f>COUNTIF(CB167:CF167,"PR")</f>
        <v>0</v>
      </c>
      <c r="CH167" s="15">
        <f>COUNTIF(CB167:CF167,"AB")</f>
        <v>0</v>
      </c>
      <c r="CI167" s="15">
        <f t="shared" si="183"/>
        <v>0</v>
      </c>
      <c r="CN167" s="15">
        <f>COUNTIF(CJ167:CM167,"PR")</f>
        <v>0</v>
      </c>
      <c r="CO167" s="15">
        <f>COUNTIF(CJ167:CM167,"AB")</f>
        <v>0</v>
      </c>
      <c r="CP167" s="15">
        <f t="shared" si="184"/>
        <v>0</v>
      </c>
      <c r="CU167" s="15">
        <f t="shared" si="169"/>
        <v>0</v>
      </c>
      <c r="CV167" s="15">
        <f t="shared" si="155"/>
        <v>0</v>
      </c>
      <c r="CW167" s="15">
        <f t="shared" si="156"/>
        <v>0</v>
      </c>
      <c r="CX167" s="15">
        <f>CG167+CN167+CU167</f>
        <v>0</v>
      </c>
      <c r="CY167" s="15" t="e">
        <f>SUM(CE167,#REF!,CS167)</f>
        <v>#REF!</v>
      </c>
      <c r="CZ167" s="1" t="e">
        <f t="shared" si="173"/>
        <v>#REF!</v>
      </c>
      <c r="DA167" s="82"/>
    </row>
    <row r="168" spans="1:105">
      <c r="A168" s="68"/>
      <c r="B168" s="14"/>
      <c r="H168" s="15">
        <f t="shared" si="153"/>
        <v>0</v>
      </c>
      <c r="I168" s="18">
        <f t="shared" si="149"/>
        <v>0</v>
      </c>
      <c r="J168" s="15">
        <f t="shared" si="150"/>
        <v>0</v>
      </c>
      <c r="O168" s="15">
        <f t="shared" si="163"/>
        <v>0</v>
      </c>
      <c r="P168" s="18">
        <f t="shared" si="151"/>
        <v>0</v>
      </c>
      <c r="Q168" s="15">
        <f t="shared" si="152"/>
        <v>0</v>
      </c>
      <c r="V168" s="15">
        <f t="shared" si="157"/>
        <v>0</v>
      </c>
      <c r="W168" s="15">
        <f t="shared" si="158"/>
        <v>0</v>
      </c>
      <c r="X168" s="15">
        <f t="shared" si="186"/>
        <v>0</v>
      </c>
      <c r="Y168" s="15">
        <f>J168+Q168+X168</f>
        <v>0</v>
      </c>
      <c r="Z168" s="15">
        <f>SUM(H168,O168,V168)</f>
        <v>0</v>
      </c>
      <c r="AA168" s="78" t="e">
        <f t="shared" si="170"/>
        <v>#DIV/0!</v>
      </c>
      <c r="AB168" s="82"/>
      <c r="AG168" s="15">
        <f t="shared" si="164"/>
        <v>0</v>
      </c>
      <c r="AH168" s="15">
        <f t="shared" si="174"/>
        <v>0</v>
      </c>
      <c r="AI168" s="15">
        <f t="shared" si="175"/>
        <v>0</v>
      </c>
      <c r="AO168" s="15">
        <f t="shared" si="165"/>
        <v>0</v>
      </c>
      <c r="AP168" s="15">
        <f t="shared" si="176"/>
        <v>0</v>
      </c>
      <c r="AQ168" s="15">
        <f t="shared" si="177"/>
        <v>0</v>
      </c>
      <c r="AV168" s="15">
        <f>COUNTIF(AR168:AU168,"PR")</f>
        <v>0</v>
      </c>
      <c r="AW168" s="15">
        <f t="shared" si="159"/>
        <v>0</v>
      </c>
      <c r="AX168" s="15">
        <f t="shared" si="185"/>
        <v>0</v>
      </c>
      <c r="AY168" s="15">
        <f>AI168+AQ168+AX168</f>
        <v>0</v>
      </c>
      <c r="AZ168" s="15">
        <f>SUM(AG168,AO168,AV168)</f>
        <v>0</v>
      </c>
      <c r="BA168" s="78" t="e">
        <f t="shared" si="171"/>
        <v>#DIV/0!</v>
      </c>
      <c r="BD168" s="1"/>
      <c r="BF168" s="15">
        <f t="shared" si="166"/>
        <v>0</v>
      </c>
      <c r="BG168" s="15">
        <f t="shared" si="178"/>
        <v>0</v>
      </c>
      <c r="BH168" s="15">
        <f t="shared" si="179"/>
        <v>0</v>
      </c>
      <c r="BN168" s="15">
        <f t="shared" si="167"/>
        <v>0</v>
      </c>
      <c r="BO168" s="15">
        <f t="shared" si="160"/>
        <v>0</v>
      </c>
      <c r="BP168" s="15">
        <f t="shared" si="180"/>
        <v>0</v>
      </c>
      <c r="BU168" s="15">
        <f t="shared" si="168"/>
        <v>0</v>
      </c>
      <c r="BV168" s="15">
        <f t="shared" si="181"/>
        <v>0</v>
      </c>
      <c r="BW168" s="15">
        <f t="shared" si="182"/>
        <v>0</v>
      </c>
      <c r="BX168" s="15">
        <f t="shared" si="161"/>
        <v>0</v>
      </c>
      <c r="BY168" s="15">
        <f t="shared" si="162"/>
        <v>0</v>
      </c>
      <c r="BZ168" s="1" t="e">
        <f t="shared" si="172"/>
        <v>#DIV/0!</v>
      </c>
      <c r="CA168" s="82"/>
      <c r="CG168" s="15">
        <f>COUNTIF(CB168:CF168,"PR")</f>
        <v>0</v>
      </c>
      <c r="CH168" s="15">
        <f>COUNTIF(CB168:CF168,"AB")</f>
        <v>0</v>
      </c>
      <c r="CI168" s="15">
        <f t="shared" si="183"/>
        <v>0</v>
      </c>
      <c r="CN168" s="15">
        <f>COUNTIF(CJ168:CM168,"PR")</f>
        <v>0</v>
      </c>
      <c r="CO168" s="15">
        <f>COUNTIF(CJ168:CM168,"AB")</f>
        <v>0</v>
      </c>
      <c r="CP168" s="15">
        <f t="shared" si="184"/>
        <v>0</v>
      </c>
      <c r="CU168" s="15">
        <f t="shared" si="169"/>
        <v>0</v>
      </c>
      <c r="CV168" s="15">
        <f t="shared" si="155"/>
        <v>0</v>
      </c>
      <c r="CW168" s="15">
        <f t="shared" si="156"/>
        <v>0</v>
      </c>
      <c r="CX168" s="15">
        <f>CG168+CN168+CU168</f>
        <v>0</v>
      </c>
      <c r="CY168" s="15" t="e">
        <f>SUM(CE168,#REF!,CS168)</f>
        <v>#REF!</v>
      </c>
      <c r="CZ168" s="1" t="e">
        <f t="shared" si="173"/>
        <v>#REF!</v>
      </c>
      <c r="DA168" s="82"/>
    </row>
    <row r="169" spans="1:105">
      <c r="A169" s="68"/>
      <c r="B169" s="14"/>
      <c r="H169" s="15">
        <f t="shared" si="153"/>
        <v>0</v>
      </c>
      <c r="I169" s="18">
        <f t="shared" si="149"/>
        <v>0</v>
      </c>
      <c r="J169" s="15">
        <f t="shared" si="150"/>
        <v>0</v>
      </c>
      <c r="O169" s="15">
        <f t="shared" si="163"/>
        <v>0</v>
      </c>
      <c r="P169" s="18">
        <f t="shared" si="151"/>
        <v>0</v>
      </c>
      <c r="Q169" s="15">
        <f t="shared" si="152"/>
        <v>0</v>
      </c>
      <c r="V169" s="15">
        <f t="shared" si="157"/>
        <v>0</v>
      </c>
      <c r="W169" s="15">
        <f t="shared" si="158"/>
        <v>0</v>
      </c>
      <c r="X169" s="15">
        <f t="shared" si="186"/>
        <v>0</v>
      </c>
      <c r="Y169" s="15">
        <f>J169+Q169+X169</f>
        <v>0</v>
      </c>
      <c r="Z169" s="15">
        <f>SUM(H169,O169,V169)</f>
        <v>0</v>
      </c>
      <c r="AA169" s="78" t="e">
        <f t="shared" si="170"/>
        <v>#DIV/0!</v>
      </c>
      <c r="AB169" s="82"/>
      <c r="AG169" s="15">
        <f t="shared" si="164"/>
        <v>0</v>
      </c>
      <c r="AH169" s="15">
        <f t="shared" si="174"/>
        <v>0</v>
      </c>
      <c r="AI169" s="15">
        <f t="shared" si="175"/>
        <v>0</v>
      </c>
      <c r="AO169" s="15">
        <f t="shared" si="165"/>
        <v>0</v>
      </c>
      <c r="AP169" s="15">
        <f t="shared" si="176"/>
        <v>0</v>
      </c>
      <c r="AQ169" s="15">
        <f t="shared" si="177"/>
        <v>0</v>
      </c>
      <c r="AV169" s="15">
        <f>COUNTIF(AR169:AU169,"PR")</f>
        <v>0</v>
      </c>
      <c r="AW169" s="15">
        <f t="shared" si="159"/>
        <v>0</v>
      </c>
      <c r="AX169" s="15">
        <f t="shared" si="185"/>
        <v>0</v>
      </c>
      <c r="AY169" s="15">
        <f>AI169+AQ169+AX169</f>
        <v>0</v>
      </c>
      <c r="AZ169" s="15">
        <f>SUM(AG169,AO169,AV169)</f>
        <v>0</v>
      </c>
      <c r="BA169" s="78" t="e">
        <f t="shared" si="171"/>
        <v>#DIV/0!</v>
      </c>
      <c r="BD169" s="1"/>
      <c r="BF169" s="15">
        <f t="shared" si="166"/>
        <v>0</v>
      </c>
      <c r="BG169" s="15">
        <f t="shared" si="178"/>
        <v>0</v>
      </c>
      <c r="BH169" s="15">
        <f t="shared" si="179"/>
        <v>0</v>
      </c>
      <c r="BN169" s="15">
        <f t="shared" si="167"/>
        <v>0</v>
      </c>
      <c r="BO169" s="15">
        <f t="shared" si="160"/>
        <v>0</v>
      </c>
      <c r="BP169" s="15">
        <f t="shared" si="180"/>
        <v>0</v>
      </c>
      <c r="BU169" s="15">
        <f t="shared" si="168"/>
        <v>0</v>
      </c>
      <c r="BV169" s="15">
        <f t="shared" si="181"/>
        <v>0</v>
      </c>
      <c r="BW169" s="15">
        <f t="shared" si="182"/>
        <v>0</v>
      </c>
      <c r="BX169" s="15">
        <f t="shared" si="161"/>
        <v>0</v>
      </c>
      <c r="BY169" s="15">
        <f t="shared" si="162"/>
        <v>0</v>
      </c>
      <c r="BZ169" s="1" t="e">
        <f t="shared" si="172"/>
        <v>#DIV/0!</v>
      </c>
      <c r="CA169" s="82"/>
      <c r="CG169" s="15">
        <f>COUNTIF(CB169:CF169,"PR")</f>
        <v>0</v>
      </c>
      <c r="CH169" s="15">
        <f>COUNTIF(CB169:CF169,"AB")</f>
        <v>0</v>
      </c>
      <c r="CI169" s="15">
        <f t="shared" si="183"/>
        <v>0</v>
      </c>
      <c r="CN169" s="15">
        <f>COUNTIF(CJ169:CM169,"PR")</f>
        <v>0</v>
      </c>
      <c r="CO169" s="15">
        <f>COUNTIF(CJ169:CM169,"AB")</f>
        <v>0</v>
      </c>
      <c r="CP169" s="15">
        <f t="shared" si="184"/>
        <v>0</v>
      </c>
      <c r="CU169" s="15">
        <f t="shared" si="169"/>
        <v>0</v>
      </c>
      <c r="CV169" s="15">
        <f t="shared" si="155"/>
        <v>0</v>
      </c>
      <c r="CW169" s="15">
        <f t="shared" si="156"/>
        <v>0</v>
      </c>
      <c r="CX169" s="15">
        <f>CG169+CN169+CU169</f>
        <v>0</v>
      </c>
      <c r="CY169" s="15" t="e">
        <f>SUM(CE169,#REF!,CS169)</f>
        <v>#REF!</v>
      </c>
      <c r="CZ169" s="1" t="e">
        <f t="shared" si="173"/>
        <v>#REF!</v>
      </c>
      <c r="DA169" s="82"/>
    </row>
    <row r="170" spans="1:105">
      <c r="A170" s="68"/>
      <c r="B170" s="14"/>
      <c r="H170" s="15">
        <f t="shared" si="153"/>
        <v>0</v>
      </c>
      <c r="I170" s="18">
        <f t="shared" si="149"/>
        <v>0</v>
      </c>
      <c r="J170" s="15">
        <f t="shared" si="150"/>
        <v>0</v>
      </c>
      <c r="O170" s="15">
        <f t="shared" si="163"/>
        <v>0</v>
      </c>
      <c r="P170" s="18">
        <f t="shared" si="151"/>
        <v>0</v>
      </c>
      <c r="Q170" s="15">
        <f t="shared" si="152"/>
        <v>0</v>
      </c>
      <c r="V170" s="15">
        <f t="shared" si="157"/>
        <v>0</v>
      </c>
      <c r="W170" s="15">
        <f t="shared" si="158"/>
        <v>0</v>
      </c>
      <c r="X170" s="15">
        <f t="shared" si="186"/>
        <v>0</v>
      </c>
      <c r="Y170" s="15">
        <f>J170+Q170+X170</f>
        <v>0</v>
      </c>
      <c r="Z170" s="15">
        <f>SUM(H170,O170,V170)</f>
        <v>0</v>
      </c>
      <c r="AA170" s="78" t="e">
        <f t="shared" si="170"/>
        <v>#DIV/0!</v>
      </c>
      <c r="AB170" s="82"/>
      <c r="AG170" s="15">
        <f t="shared" si="164"/>
        <v>0</v>
      </c>
      <c r="AH170" s="15">
        <f t="shared" si="174"/>
        <v>0</v>
      </c>
      <c r="AI170" s="15">
        <f t="shared" si="175"/>
        <v>0</v>
      </c>
      <c r="AO170" s="15">
        <f t="shared" si="165"/>
        <v>0</v>
      </c>
      <c r="AP170" s="15">
        <f t="shared" si="176"/>
        <v>0</v>
      </c>
      <c r="AQ170" s="15">
        <f t="shared" si="177"/>
        <v>0</v>
      </c>
      <c r="AV170" s="15">
        <f>COUNTIF(AR170:AU170,"PR")</f>
        <v>0</v>
      </c>
      <c r="AW170" s="15">
        <f t="shared" si="159"/>
        <v>0</v>
      </c>
      <c r="AX170" s="15">
        <f t="shared" si="185"/>
        <v>0</v>
      </c>
      <c r="AY170" s="15">
        <f>AI170+AQ170+AX170</f>
        <v>0</v>
      </c>
      <c r="AZ170" s="15">
        <f>SUM(AG170,AO170,AV170)</f>
        <v>0</v>
      </c>
      <c r="BA170" s="78" t="e">
        <f t="shared" si="171"/>
        <v>#DIV/0!</v>
      </c>
      <c r="BD170" s="1"/>
      <c r="BF170" s="15">
        <f t="shared" si="166"/>
        <v>0</v>
      </c>
      <c r="BG170" s="15">
        <f t="shared" si="178"/>
        <v>0</v>
      </c>
      <c r="BH170" s="15">
        <f t="shared" si="179"/>
        <v>0</v>
      </c>
      <c r="BN170" s="15">
        <f t="shared" si="167"/>
        <v>0</v>
      </c>
      <c r="BO170" s="15">
        <f t="shared" si="160"/>
        <v>0</v>
      </c>
      <c r="BP170" s="15">
        <f t="shared" si="180"/>
        <v>0</v>
      </c>
      <c r="BU170" s="15">
        <f t="shared" si="168"/>
        <v>0</v>
      </c>
      <c r="BV170" s="15">
        <f t="shared" si="181"/>
        <v>0</v>
      </c>
      <c r="BW170" s="15">
        <f t="shared" si="182"/>
        <v>0</v>
      </c>
      <c r="BX170" s="15">
        <f t="shared" si="161"/>
        <v>0</v>
      </c>
      <c r="BY170" s="15">
        <f t="shared" si="162"/>
        <v>0</v>
      </c>
      <c r="BZ170" s="1" t="e">
        <f t="shared" si="172"/>
        <v>#DIV/0!</v>
      </c>
      <c r="CA170" s="82"/>
      <c r="CG170" s="15">
        <f>COUNTIF(CB170:CF170,"PR")</f>
        <v>0</v>
      </c>
      <c r="CH170" s="15">
        <f>COUNTIF(CB170:CF170,"AB")</f>
        <v>0</v>
      </c>
      <c r="CI170" s="15">
        <f t="shared" si="183"/>
        <v>0</v>
      </c>
      <c r="CN170" s="15">
        <f>COUNTIF(CJ170:CM170,"PR")</f>
        <v>0</v>
      </c>
      <c r="CO170" s="15">
        <f>COUNTIF(CJ170:CM170,"AB")</f>
        <v>0</v>
      </c>
      <c r="CP170" s="15">
        <f t="shared" si="184"/>
        <v>0</v>
      </c>
      <c r="CU170" s="15">
        <f t="shared" si="169"/>
        <v>0</v>
      </c>
      <c r="CV170" s="15">
        <f t="shared" si="155"/>
        <v>0</v>
      </c>
      <c r="CW170" s="15">
        <f t="shared" si="156"/>
        <v>0</v>
      </c>
      <c r="CX170" s="15">
        <f>CG170+CN170+CU170</f>
        <v>0</v>
      </c>
      <c r="CY170" s="15" t="e">
        <f>SUM(CE170,#REF!,CS170)</f>
        <v>#REF!</v>
      </c>
      <c r="CZ170" s="1" t="e">
        <f t="shared" si="173"/>
        <v>#REF!</v>
      </c>
      <c r="DA170" s="82"/>
    </row>
    <row r="171" spans="1:105">
      <c r="A171" s="68"/>
      <c r="B171" s="14"/>
      <c r="H171" s="15">
        <f t="shared" si="153"/>
        <v>0</v>
      </c>
      <c r="I171" s="18">
        <f t="shared" si="149"/>
        <v>0</v>
      </c>
      <c r="J171" s="15">
        <f t="shared" si="150"/>
        <v>0</v>
      </c>
      <c r="O171" s="15">
        <f t="shared" si="163"/>
        <v>0</v>
      </c>
      <c r="P171" s="18">
        <f t="shared" si="151"/>
        <v>0</v>
      </c>
      <c r="Q171" s="15">
        <f t="shared" si="152"/>
        <v>0</v>
      </c>
      <c r="V171" s="15">
        <f t="shared" si="157"/>
        <v>0</v>
      </c>
      <c r="W171" s="15">
        <f t="shared" si="158"/>
        <v>0</v>
      </c>
      <c r="X171" s="15">
        <f t="shared" si="186"/>
        <v>0</v>
      </c>
      <c r="Y171" s="15">
        <f>J171+Q171+X171</f>
        <v>0</v>
      </c>
      <c r="Z171" s="15">
        <f>SUM(H171,O171,V171)</f>
        <v>0</v>
      </c>
      <c r="AA171" s="78" t="e">
        <f t="shared" si="170"/>
        <v>#DIV/0!</v>
      </c>
      <c r="AB171" s="82"/>
      <c r="AG171" s="15">
        <f t="shared" si="164"/>
        <v>0</v>
      </c>
      <c r="AH171" s="15">
        <f t="shared" si="174"/>
        <v>0</v>
      </c>
      <c r="AI171" s="15">
        <f t="shared" si="175"/>
        <v>0</v>
      </c>
      <c r="AO171" s="15">
        <f t="shared" si="165"/>
        <v>0</v>
      </c>
      <c r="AP171" s="15">
        <f t="shared" si="176"/>
        <v>0</v>
      </c>
      <c r="AQ171" s="15">
        <f t="shared" si="177"/>
        <v>0</v>
      </c>
      <c r="AV171" s="15">
        <f>COUNTIF(AR171:AU171,"PR")</f>
        <v>0</v>
      </c>
      <c r="AW171" s="15">
        <f t="shared" si="159"/>
        <v>0</v>
      </c>
      <c r="AX171" s="15">
        <f t="shared" si="185"/>
        <v>0</v>
      </c>
      <c r="AY171" s="15">
        <f>AI171+AQ171+AX171</f>
        <v>0</v>
      </c>
      <c r="AZ171" s="15">
        <f>SUM(AG171,AO171,AV171)</f>
        <v>0</v>
      </c>
      <c r="BA171" s="78" t="e">
        <f t="shared" si="171"/>
        <v>#DIV/0!</v>
      </c>
      <c r="BD171" s="1"/>
      <c r="BF171" s="15">
        <f t="shared" si="166"/>
        <v>0</v>
      </c>
      <c r="BG171" s="15">
        <f t="shared" si="178"/>
        <v>0</v>
      </c>
      <c r="BH171" s="15">
        <f t="shared" si="179"/>
        <v>0</v>
      </c>
      <c r="BN171" s="15">
        <f t="shared" si="167"/>
        <v>0</v>
      </c>
      <c r="BO171" s="15">
        <f t="shared" si="160"/>
        <v>0</v>
      </c>
      <c r="BP171" s="15">
        <f t="shared" si="180"/>
        <v>0</v>
      </c>
      <c r="BU171" s="15">
        <f t="shared" si="168"/>
        <v>0</v>
      </c>
      <c r="BV171" s="15">
        <f t="shared" si="181"/>
        <v>0</v>
      </c>
      <c r="BW171" s="15">
        <f t="shared" si="182"/>
        <v>0</v>
      </c>
      <c r="BX171" s="15">
        <f t="shared" si="161"/>
        <v>0</v>
      </c>
      <c r="BY171" s="15">
        <f t="shared" si="162"/>
        <v>0</v>
      </c>
      <c r="BZ171" s="1" t="e">
        <f t="shared" si="172"/>
        <v>#DIV/0!</v>
      </c>
      <c r="CA171" s="82"/>
      <c r="CG171" s="15">
        <f>COUNTIF(CB171:CF171,"PR")</f>
        <v>0</v>
      </c>
      <c r="CH171" s="15">
        <f>COUNTIF(CB171:CF171,"AB")</f>
        <v>0</v>
      </c>
      <c r="CI171" s="15">
        <f t="shared" si="183"/>
        <v>0</v>
      </c>
      <c r="CN171" s="15">
        <f>COUNTIF(CJ171:CM171,"PR")</f>
        <v>0</v>
      </c>
      <c r="CO171" s="15">
        <f>COUNTIF(CJ171:CM171,"AB")</f>
        <v>0</v>
      </c>
      <c r="CP171" s="15">
        <f t="shared" si="184"/>
        <v>0</v>
      </c>
      <c r="CU171" s="15">
        <f t="shared" si="169"/>
        <v>0</v>
      </c>
      <c r="CV171" s="15">
        <f t="shared" si="155"/>
        <v>0</v>
      </c>
      <c r="CW171" s="15">
        <f t="shared" si="156"/>
        <v>0</v>
      </c>
      <c r="CX171" s="15">
        <f>CG171+CN171+CU171</f>
        <v>0</v>
      </c>
      <c r="CY171" s="15" t="e">
        <f>SUM(CE171,#REF!,CS171)</f>
        <v>#REF!</v>
      </c>
      <c r="CZ171" s="1" t="e">
        <f t="shared" si="173"/>
        <v>#REF!</v>
      </c>
      <c r="DA171" s="82"/>
    </row>
    <row r="172" spans="1:105">
      <c r="A172" s="68"/>
      <c r="B172" s="14"/>
      <c r="H172" s="15">
        <f t="shared" si="153"/>
        <v>0</v>
      </c>
      <c r="I172" s="18">
        <f t="shared" si="149"/>
        <v>0</v>
      </c>
      <c r="J172" s="15">
        <f t="shared" si="150"/>
        <v>0</v>
      </c>
      <c r="O172" s="15">
        <f t="shared" si="163"/>
        <v>0</v>
      </c>
      <c r="P172" s="18">
        <f t="shared" si="151"/>
        <v>0</v>
      </c>
      <c r="Q172" s="15">
        <f t="shared" si="152"/>
        <v>0</v>
      </c>
      <c r="V172" s="15">
        <f t="shared" si="157"/>
        <v>0</v>
      </c>
      <c r="W172" s="15">
        <f t="shared" si="158"/>
        <v>0</v>
      </c>
      <c r="X172" s="15">
        <f t="shared" si="186"/>
        <v>0</v>
      </c>
      <c r="Y172" s="15">
        <f>J172+Q172+X172</f>
        <v>0</v>
      </c>
      <c r="Z172" s="15">
        <f>SUM(H172,O172,V172)</f>
        <v>0</v>
      </c>
      <c r="AA172" s="78" t="e">
        <f t="shared" si="170"/>
        <v>#DIV/0!</v>
      </c>
      <c r="AB172" s="82"/>
      <c r="AG172" s="15">
        <f t="shared" si="164"/>
        <v>0</v>
      </c>
      <c r="AH172" s="15">
        <f t="shared" si="174"/>
        <v>0</v>
      </c>
      <c r="AI172" s="15">
        <f t="shared" si="175"/>
        <v>0</v>
      </c>
      <c r="AO172" s="15">
        <f t="shared" si="165"/>
        <v>0</v>
      </c>
      <c r="AP172" s="15">
        <f t="shared" si="176"/>
        <v>0</v>
      </c>
      <c r="AQ172" s="15">
        <f t="shared" si="177"/>
        <v>0</v>
      </c>
      <c r="AV172" s="15">
        <f>COUNTIF(AR172:AU172,"PR")</f>
        <v>0</v>
      </c>
      <c r="AW172" s="15">
        <f t="shared" si="159"/>
        <v>0</v>
      </c>
      <c r="AX172" s="15">
        <f t="shared" si="185"/>
        <v>0</v>
      </c>
      <c r="AY172" s="15">
        <f>AI172+AQ172+AX172</f>
        <v>0</v>
      </c>
      <c r="AZ172" s="15">
        <f>SUM(AG172,AO172,AV172)</f>
        <v>0</v>
      </c>
      <c r="BA172" s="78" t="e">
        <f t="shared" si="171"/>
        <v>#DIV/0!</v>
      </c>
      <c r="BD172" s="1"/>
      <c r="BF172" s="15">
        <f t="shared" si="166"/>
        <v>0</v>
      </c>
      <c r="BG172" s="15">
        <f t="shared" si="178"/>
        <v>0</v>
      </c>
      <c r="BH172" s="15">
        <f t="shared" si="179"/>
        <v>0</v>
      </c>
      <c r="BN172" s="15">
        <f t="shared" si="167"/>
        <v>0</v>
      </c>
      <c r="BO172" s="15">
        <f t="shared" si="160"/>
        <v>0</v>
      </c>
      <c r="BP172" s="15">
        <f t="shared" si="180"/>
        <v>0</v>
      </c>
      <c r="BU172" s="15">
        <f t="shared" si="168"/>
        <v>0</v>
      </c>
      <c r="BV172" s="15">
        <f t="shared" si="181"/>
        <v>0</v>
      </c>
      <c r="BW172" s="15">
        <f t="shared" si="182"/>
        <v>0</v>
      </c>
      <c r="BX172" s="15">
        <f t="shared" si="161"/>
        <v>0</v>
      </c>
      <c r="BY172" s="15">
        <f t="shared" si="162"/>
        <v>0</v>
      </c>
      <c r="BZ172" s="1" t="e">
        <f t="shared" si="172"/>
        <v>#DIV/0!</v>
      </c>
      <c r="CA172" s="82"/>
      <c r="CG172" s="15">
        <f>COUNTIF(CB172:CF172,"PR")</f>
        <v>0</v>
      </c>
      <c r="CH172" s="15">
        <f>COUNTIF(CB172:CF172,"AB")</f>
        <v>0</v>
      </c>
      <c r="CI172" s="15">
        <f t="shared" si="183"/>
        <v>0</v>
      </c>
      <c r="CN172" s="15">
        <f>COUNTIF(CJ172:CM172,"PR")</f>
        <v>0</v>
      </c>
      <c r="CO172" s="15">
        <f>COUNTIF(CJ172:CM172,"AB")</f>
        <v>0</v>
      </c>
      <c r="CP172" s="15">
        <f t="shared" si="184"/>
        <v>0</v>
      </c>
      <c r="CU172" s="15">
        <f t="shared" si="169"/>
        <v>0</v>
      </c>
      <c r="CV172" s="15">
        <f t="shared" si="155"/>
        <v>0</v>
      </c>
      <c r="CW172" s="15">
        <f t="shared" si="156"/>
        <v>0</v>
      </c>
      <c r="CX172" s="15">
        <f>CG172+CN172+CU172</f>
        <v>0</v>
      </c>
      <c r="CY172" s="15" t="e">
        <f>SUM(CE172,#REF!,CS172)</f>
        <v>#REF!</v>
      </c>
      <c r="CZ172" s="1" t="e">
        <f t="shared" si="173"/>
        <v>#REF!</v>
      </c>
      <c r="DA172" s="82"/>
    </row>
    <row r="173" spans="1:105">
      <c r="A173" s="68"/>
      <c r="B173" s="14"/>
      <c r="H173" s="15">
        <f>COUNTIF(C173:G173,"PR")</f>
        <v>0</v>
      </c>
      <c r="I173" s="18">
        <f>COUNTIF(C173:G173,"AB")</f>
        <v>0</v>
      </c>
      <c r="J173" s="15">
        <f>H173+I173</f>
        <v>0</v>
      </c>
      <c r="O173" s="15">
        <f>COUNTIF(K173:N173,"PR")</f>
        <v>0</v>
      </c>
      <c r="P173" s="18">
        <f>COUNTIF(K173:N173,"AB")</f>
        <v>0</v>
      </c>
      <c r="Q173" s="15">
        <f>O173+P173</f>
        <v>0</v>
      </c>
      <c r="V173" s="15">
        <f t="shared" si="157"/>
        <v>0</v>
      </c>
      <c r="W173" s="15">
        <f t="shared" si="158"/>
        <v>0</v>
      </c>
      <c r="X173" s="15">
        <f>V173+W173</f>
        <v>0</v>
      </c>
      <c r="Y173" s="15">
        <f>J173+Q173+X173</f>
        <v>0</v>
      </c>
      <c r="Z173" s="15">
        <f>SUM(H173,O173,V173)</f>
        <v>0</v>
      </c>
      <c r="AA173" s="78" t="e">
        <f>Z173/Y173*100</f>
        <v>#DIV/0!</v>
      </c>
      <c r="AB173" s="82"/>
      <c r="AG173" s="15">
        <f>COUNTIF(AC173:AF173,"PR")</f>
        <v>0</v>
      </c>
      <c r="AH173" s="15">
        <f>COUNTIF(AC173:AF173,"AB")</f>
        <v>0</v>
      </c>
      <c r="AI173" s="15">
        <f>AG173+AH173</f>
        <v>0</v>
      </c>
      <c r="AO173" s="15">
        <f>COUNTIF(AJ173:AN173,"PR")</f>
        <v>0</v>
      </c>
      <c r="AP173" s="15">
        <f>COUNTIF(AJ173:AN173,"AB")</f>
        <v>0</v>
      </c>
      <c r="AQ173" s="15">
        <f>AO173+AP173</f>
        <v>0</v>
      </c>
      <c r="AV173" s="15">
        <f>COUNTIF(AR173:AU173,"PR")</f>
        <v>0</v>
      </c>
      <c r="AW173" s="15">
        <f t="shared" si="159"/>
        <v>0</v>
      </c>
      <c r="AX173" s="15">
        <f>AV173+AW173</f>
        <v>0</v>
      </c>
      <c r="AY173" s="15">
        <f>AI173+AQ173+AX173</f>
        <v>0</v>
      </c>
      <c r="AZ173" s="15">
        <f>SUM(AG173,AO173,AV173)</f>
        <v>0</v>
      </c>
      <c r="BA173" s="78" t="e">
        <f>AZ173/AY173*100</f>
        <v>#DIV/0!</v>
      </c>
      <c r="BD173" s="1"/>
      <c r="BF173" s="15">
        <f>COUNTIF(BB173:BE173,"PR")</f>
        <v>0</v>
      </c>
      <c r="BG173" s="15">
        <f>COUNTIF(BB173:BE173,"AB")</f>
        <v>0</v>
      </c>
      <c r="BH173" s="15">
        <f>BF173+BG173</f>
        <v>0</v>
      </c>
      <c r="BN173" s="15">
        <f>COUNTIF(BI173:BM173,"PR")</f>
        <v>0</v>
      </c>
      <c r="BO173" s="15">
        <f t="shared" si="160"/>
        <v>0</v>
      </c>
      <c r="BP173" s="15">
        <f>BN173+BO173</f>
        <v>0</v>
      </c>
      <c r="BU173" s="15">
        <f>COUNTIF(BQ173:BT173,"PR")</f>
        <v>0</v>
      </c>
      <c r="BV173" s="15">
        <f>COUNTIF(BQ173:BT173,"AB")</f>
        <v>0</v>
      </c>
      <c r="BW173" s="15">
        <f>BU173+BV173</f>
        <v>0</v>
      </c>
      <c r="BX173" s="15">
        <f>BH173+BP173+BW173</f>
        <v>0</v>
      </c>
      <c r="BY173" s="15">
        <f>SUM(BF173,BN173,BU173)</f>
        <v>0</v>
      </c>
      <c r="BZ173" s="78" t="e">
        <f>BY173/BX173*100</f>
        <v>#DIV/0!</v>
      </c>
      <c r="CA173" s="82"/>
      <c r="CG173" s="15">
        <f>COUNTIF(CB173:CF173,"PR")</f>
        <v>0</v>
      </c>
      <c r="CH173" s="15">
        <f>COUNTIF(CB173:CF173,"AB")</f>
        <v>0</v>
      </c>
      <c r="CI173" s="15">
        <f>CG173+CH173</f>
        <v>0</v>
      </c>
      <c r="CN173" s="15">
        <f>COUNTIF(CJ173:CM173,"PR")</f>
        <v>0</v>
      </c>
      <c r="CO173" s="15">
        <f>COUNTIF(CJ173:CM173,"AB")</f>
        <v>0</v>
      </c>
      <c r="CP173" s="15">
        <f>CN173+CO173</f>
        <v>0</v>
      </c>
      <c r="CU173" s="15">
        <f>COUNTIF(CQ173:CT173,"PR")</f>
        <v>0</v>
      </c>
      <c r="CV173" s="15">
        <f>COUNTIF(CQ173:CT173,"AB")</f>
        <v>0</v>
      </c>
      <c r="CW173" s="15">
        <f>CU173+CV173</f>
        <v>0</v>
      </c>
      <c r="CX173" s="15">
        <f>CG173+CN173+CU173</f>
        <v>0</v>
      </c>
      <c r="CY173" s="15" t="e">
        <f>SUM(CE173,#REF!,CS173)</f>
        <v>#REF!</v>
      </c>
      <c r="CZ173" s="78" t="e">
        <f>CY173/CX173*100</f>
        <v>#REF!</v>
      </c>
      <c r="DA173" s="82"/>
    </row>
    <row r="174" spans="1:105">
      <c r="A174" s="68"/>
      <c r="B174" s="14"/>
      <c r="H174" s="15">
        <f t="shared" si="153"/>
        <v>0</v>
      </c>
      <c r="I174" s="18">
        <f t="shared" si="149"/>
        <v>0</v>
      </c>
      <c r="J174" s="15">
        <f t="shared" si="150"/>
        <v>0</v>
      </c>
      <c r="O174" s="15">
        <f t="shared" si="163"/>
        <v>0</v>
      </c>
      <c r="P174" s="18">
        <f t="shared" si="151"/>
        <v>0</v>
      </c>
      <c r="Q174" s="15">
        <f t="shared" si="152"/>
        <v>0</v>
      </c>
      <c r="V174" s="15">
        <f t="shared" si="157"/>
        <v>0</v>
      </c>
      <c r="W174" s="15">
        <f t="shared" si="158"/>
        <v>0</v>
      </c>
      <c r="X174" s="15">
        <f t="shared" si="186"/>
        <v>0</v>
      </c>
      <c r="Y174" s="15">
        <f>J174+Q174+X174</f>
        <v>0</v>
      </c>
      <c r="Z174" s="15">
        <f>SUM(H174,O174,V174)</f>
        <v>0</v>
      </c>
      <c r="AA174" s="78" t="e">
        <f t="shared" si="170"/>
        <v>#DIV/0!</v>
      </c>
      <c r="AB174" s="82"/>
      <c r="AG174" s="15">
        <f t="shared" si="164"/>
        <v>0</v>
      </c>
      <c r="AH174" s="15">
        <f t="shared" si="174"/>
        <v>0</v>
      </c>
      <c r="AI174" s="15">
        <f t="shared" si="175"/>
        <v>0</v>
      </c>
      <c r="AO174" s="15">
        <f t="shared" si="165"/>
        <v>0</v>
      </c>
      <c r="AP174" s="15">
        <f t="shared" si="176"/>
        <v>0</v>
      </c>
      <c r="AQ174" s="15">
        <f t="shared" si="177"/>
        <v>0</v>
      </c>
      <c r="AV174" s="15">
        <f>COUNTIF(AR174:AU174,"PR")</f>
        <v>0</v>
      </c>
      <c r="AW174" s="15">
        <f t="shared" si="159"/>
        <v>0</v>
      </c>
      <c r="AX174" s="15">
        <f t="shared" si="185"/>
        <v>0</v>
      </c>
      <c r="AY174" s="15">
        <f>AI174+AQ174+AX174</f>
        <v>0</v>
      </c>
      <c r="AZ174" s="15">
        <f>SUM(AG174,AO174,AV174)</f>
        <v>0</v>
      </c>
      <c r="BA174" s="78" t="e">
        <f t="shared" si="171"/>
        <v>#DIV/0!</v>
      </c>
      <c r="BD174" s="1"/>
      <c r="BF174" s="15">
        <f t="shared" si="166"/>
        <v>0</v>
      </c>
      <c r="BG174" s="15">
        <f t="shared" si="178"/>
        <v>0</v>
      </c>
      <c r="BH174" s="15">
        <f t="shared" si="179"/>
        <v>0</v>
      </c>
      <c r="BN174" s="15">
        <f t="shared" si="167"/>
        <v>0</v>
      </c>
      <c r="BO174" s="15">
        <f t="shared" si="160"/>
        <v>0</v>
      </c>
      <c r="BP174" s="15">
        <f t="shared" si="180"/>
        <v>0</v>
      </c>
      <c r="BU174" s="15">
        <f t="shared" si="168"/>
        <v>0</v>
      </c>
      <c r="BV174" s="15">
        <f t="shared" si="181"/>
        <v>0</v>
      </c>
      <c r="BW174" s="15">
        <f t="shared" si="182"/>
        <v>0</v>
      </c>
      <c r="BX174" s="15">
        <f t="shared" si="161"/>
        <v>0</v>
      </c>
      <c r="BY174" s="15">
        <f t="shared" si="162"/>
        <v>0</v>
      </c>
      <c r="BZ174" s="1" t="e">
        <f t="shared" si="172"/>
        <v>#DIV/0!</v>
      </c>
      <c r="CA174" s="82"/>
      <c r="CG174" s="15">
        <f>COUNTIF(CB174:CF174,"PR")</f>
        <v>0</v>
      </c>
      <c r="CH174" s="15">
        <f>COUNTIF(CB174:CF174,"AB")</f>
        <v>0</v>
      </c>
      <c r="CI174" s="15">
        <f t="shared" si="183"/>
        <v>0</v>
      </c>
      <c r="CN174" s="15">
        <f>COUNTIF(CJ174:CM174,"PR")</f>
        <v>0</v>
      </c>
      <c r="CO174" s="15">
        <f>COUNTIF(CJ174:CM174,"AB")</f>
        <v>0</v>
      </c>
      <c r="CP174" s="15">
        <f t="shared" si="184"/>
        <v>0</v>
      </c>
      <c r="CU174" s="15">
        <f t="shared" si="169"/>
        <v>0</v>
      </c>
      <c r="CV174" s="15">
        <f t="shared" si="155"/>
        <v>0</v>
      </c>
      <c r="CW174" s="15">
        <f t="shared" si="156"/>
        <v>0</v>
      </c>
      <c r="CX174" s="15">
        <f>CG174+CN174+CU174</f>
        <v>0</v>
      </c>
      <c r="CY174" s="15" t="e">
        <f>SUM(CE174,#REF!,CS174)</f>
        <v>#REF!</v>
      </c>
      <c r="CZ174" s="1" t="e">
        <f t="shared" si="173"/>
        <v>#REF!</v>
      </c>
      <c r="DA174" s="82"/>
    </row>
    <row r="175" spans="1:105">
      <c r="A175" s="68"/>
      <c r="B175" s="14"/>
      <c r="H175" s="15">
        <f t="shared" si="153"/>
        <v>0</v>
      </c>
      <c r="I175" s="18">
        <f t="shared" si="149"/>
        <v>0</v>
      </c>
      <c r="J175" s="15">
        <f t="shared" si="150"/>
        <v>0</v>
      </c>
      <c r="O175" s="15">
        <f t="shared" si="163"/>
        <v>0</v>
      </c>
      <c r="P175" s="18">
        <f t="shared" si="151"/>
        <v>0</v>
      </c>
      <c r="Q175" s="15">
        <f t="shared" si="152"/>
        <v>0</v>
      </c>
      <c r="V175" s="15">
        <f t="shared" si="157"/>
        <v>0</v>
      </c>
      <c r="W175" s="15">
        <f t="shared" si="158"/>
        <v>0</v>
      </c>
      <c r="X175" s="15">
        <f t="shared" si="186"/>
        <v>0</v>
      </c>
      <c r="Y175" s="15">
        <f>J175+Q175+X175</f>
        <v>0</v>
      </c>
      <c r="Z175" s="15">
        <f>SUM(H175,O175,V175)</f>
        <v>0</v>
      </c>
      <c r="AA175" s="78" t="e">
        <f t="shared" si="170"/>
        <v>#DIV/0!</v>
      </c>
      <c r="AB175" s="82"/>
      <c r="AG175" s="15">
        <f t="shared" si="164"/>
        <v>0</v>
      </c>
      <c r="AH175" s="15">
        <f t="shared" si="174"/>
        <v>0</v>
      </c>
      <c r="AI175" s="15">
        <f t="shared" si="175"/>
        <v>0</v>
      </c>
      <c r="AO175" s="15">
        <f t="shared" si="165"/>
        <v>0</v>
      </c>
      <c r="AP175" s="15">
        <f t="shared" si="176"/>
        <v>0</v>
      </c>
      <c r="AQ175" s="15">
        <f t="shared" si="177"/>
        <v>0</v>
      </c>
      <c r="AV175" s="15">
        <f>COUNTIF(AR175:AU175,"PR")</f>
        <v>0</v>
      </c>
      <c r="AW175" s="15">
        <f t="shared" si="159"/>
        <v>0</v>
      </c>
      <c r="AX175" s="15">
        <f t="shared" si="185"/>
        <v>0</v>
      </c>
      <c r="AY175" s="15">
        <f>AI175+AQ175+AX175</f>
        <v>0</v>
      </c>
      <c r="AZ175" s="15">
        <f>SUM(AG175,AO175,AV175)</f>
        <v>0</v>
      </c>
      <c r="BA175" s="78" t="e">
        <f t="shared" si="171"/>
        <v>#DIV/0!</v>
      </c>
      <c r="BD175" s="1"/>
      <c r="BF175" s="15">
        <f t="shared" si="166"/>
        <v>0</v>
      </c>
      <c r="BG175" s="15">
        <f t="shared" si="178"/>
        <v>0</v>
      </c>
      <c r="BH175" s="15">
        <f t="shared" si="179"/>
        <v>0</v>
      </c>
      <c r="BN175" s="15">
        <f t="shared" si="167"/>
        <v>0</v>
      </c>
      <c r="BO175" s="15">
        <f t="shared" si="160"/>
        <v>0</v>
      </c>
      <c r="BP175" s="15">
        <f t="shared" si="180"/>
        <v>0</v>
      </c>
      <c r="BU175" s="15">
        <f t="shared" si="168"/>
        <v>0</v>
      </c>
      <c r="BV175" s="15">
        <f t="shared" si="181"/>
        <v>0</v>
      </c>
      <c r="BW175" s="15">
        <f t="shared" si="182"/>
        <v>0</v>
      </c>
      <c r="BX175" s="15">
        <f t="shared" si="161"/>
        <v>0</v>
      </c>
      <c r="BY175" s="15">
        <f t="shared" si="162"/>
        <v>0</v>
      </c>
      <c r="BZ175" s="1" t="e">
        <f t="shared" si="172"/>
        <v>#DIV/0!</v>
      </c>
      <c r="CA175" s="82"/>
      <c r="CG175" s="15">
        <f>COUNTIF(CB175:CF175,"PR")</f>
        <v>0</v>
      </c>
      <c r="CH175" s="15">
        <f>COUNTIF(CB175:CF175,"AB")</f>
        <v>0</v>
      </c>
      <c r="CI175" s="15">
        <f t="shared" si="183"/>
        <v>0</v>
      </c>
      <c r="CN175" s="15">
        <f>COUNTIF(CJ175:CM175,"PR")</f>
        <v>0</v>
      </c>
      <c r="CO175" s="15">
        <f>COUNTIF(CJ175:CM175,"AB")</f>
        <v>0</v>
      </c>
      <c r="CP175" s="15">
        <f t="shared" si="184"/>
        <v>0</v>
      </c>
      <c r="CU175" s="15">
        <f t="shared" si="169"/>
        <v>0</v>
      </c>
      <c r="CV175" s="15">
        <f t="shared" si="155"/>
        <v>0</v>
      </c>
      <c r="CW175" s="15">
        <f t="shared" si="156"/>
        <v>0</v>
      </c>
      <c r="CX175" s="15">
        <f>CG175+CN175+CU175</f>
        <v>0</v>
      </c>
      <c r="CY175" s="15" t="e">
        <f>SUM(CE175,#REF!,CS175)</f>
        <v>#REF!</v>
      </c>
      <c r="CZ175" s="1" t="e">
        <f t="shared" si="173"/>
        <v>#REF!</v>
      </c>
      <c r="DA175" s="82"/>
    </row>
    <row r="176" spans="1:105">
      <c r="A176" s="68"/>
      <c r="B176" s="14"/>
      <c r="H176" s="15">
        <f t="shared" si="153"/>
        <v>0</v>
      </c>
      <c r="I176" s="18">
        <f t="shared" si="149"/>
        <v>0</v>
      </c>
      <c r="J176" s="15">
        <f t="shared" si="150"/>
        <v>0</v>
      </c>
      <c r="O176" s="15">
        <f t="shared" si="163"/>
        <v>0</v>
      </c>
      <c r="P176" s="18">
        <f t="shared" si="151"/>
        <v>0</v>
      </c>
      <c r="Q176" s="15">
        <f t="shared" si="152"/>
        <v>0</v>
      </c>
      <c r="V176" s="15">
        <f t="shared" si="157"/>
        <v>0</v>
      </c>
      <c r="W176" s="15">
        <f t="shared" si="158"/>
        <v>0</v>
      </c>
      <c r="X176" s="15">
        <f t="shared" si="186"/>
        <v>0</v>
      </c>
      <c r="Y176" s="15">
        <f>J176+Q176+X176</f>
        <v>0</v>
      </c>
      <c r="Z176" s="15">
        <f>SUM(H176,O176,V176)</f>
        <v>0</v>
      </c>
      <c r="AA176" s="78" t="e">
        <f t="shared" si="170"/>
        <v>#DIV/0!</v>
      </c>
      <c r="AB176" s="82"/>
      <c r="AG176" s="15">
        <f t="shared" si="164"/>
        <v>0</v>
      </c>
      <c r="AH176" s="15">
        <f t="shared" si="174"/>
        <v>0</v>
      </c>
      <c r="AI176" s="15">
        <f t="shared" si="175"/>
        <v>0</v>
      </c>
      <c r="AO176" s="15">
        <f t="shared" si="165"/>
        <v>0</v>
      </c>
      <c r="AP176" s="15">
        <f t="shared" si="176"/>
        <v>0</v>
      </c>
      <c r="AQ176" s="15">
        <f t="shared" si="177"/>
        <v>0</v>
      </c>
      <c r="AV176" s="15">
        <f>COUNTIF(AR176:AU176,"PR")</f>
        <v>0</v>
      </c>
      <c r="AW176" s="15">
        <f t="shared" si="159"/>
        <v>0</v>
      </c>
      <c r="AX176" s="15">
        <f t="shared" si="185"/>
        <v>0</v>
      </c>
      <c r="AY176" s="15">
        <f>AI176+AQ176+AX176</f>
        <v>0</v>
      </c>
      <c r="AZ176" s="15">
        <f>SUM(AG176,AO176,AV176)</f>
        <v>0</v>
      </c>
      <c r="BA176" s="78" t="e">
        <f t="shared" si="171"/>
        <v>#DIV/0!</v>
      </c>
      <c r="BD176" s="1"/>
      <c r="BF176" s="15">
        <f t="shared" si="166"/>
        <v>0</v>
      </c>
      <c r="BG176" s="15">
        <f t="shared" si="178"/>
        <v>0</v>
      </c>
      <c r="BH176" s="15">
        <f t="shared" si="179"/>
        <v>0</v>
      </c>
      <c r="BN176" s="15">
        <f t="shared" si="167"/>
        <v>0</v>
      </c>
      <c r="BO176" s="15">
        <f t="shared" si="160"/>
        <v>0</v>
      </c>
      <c r="BP176" s="15">
        <f t="shared" si="180"/>
        <v>0</v>
      </c>
      <c r="BU176" s="15">
        <f t="shared" si="168"/>
        <v>0</v>
      </c>
      <c r="BV176" s="15">
        <f t="shared" si="181"/>
        <v>0</v>
      </c>
      <c r="BW176" s="15">
        <f t="shared" si="182"/>
        <v>0</v>
      </c>
      <c r="BX176" s="15">
        <f t="shared" si="161"/>
        <v>0</v>
      </c>
      <c r="BY176" s="15">
        <f t="shared" si="162"/>
        <v>0</v>
      </c>
      <c r="BZ176" s="1" t="e">
        <f t="shared" si="172"/>
        <v>#DIV/0!</v>
      </c>
      <c r="CA176" s="82"/>
      <c r="CG176" s="15">
        <f>COUNTIF(CB176:CF176,"PR")</f>
        <v>0</v>
      </c>
      <c r="CH176" s="15">
        <f>COUNTIF(CB176:CF176,"AB")</f>
        <v>0</v>
      </c>
      <c r="CI176" s="15">
        <f t="shared" si="183"/>
        <v>0</v>
      </c>
      <c r="CN176" s="15">
        <f>COUNTIF(CJ176:CM176,"PR")</f>
        <v>0</v>
      </c>
      <c r="CO176" s="15">
        <f>COUNTIF(CJ176:CM176,"AB")</f>
        <v>0</v>
      </c>
      <c r="CP176" s="15">
        <f t="shared" si="184"/>
        <v>0</v>
      </c>
      <c r="CU176" s="15">
        <f t="shared" si="169"/>
        <v>0</v>
      </c>
      <c r="CV176" s="15">
        <f t="shared" si="155"/>
        <v>0</v>
      </c>
      <c r="CW176" s="15">
        <f t="shared" si="156"/>
        <v>0</v>
      </c>
      <c r="CX176" s="15">
        <f>CG176+CN176+CU176</f>
        <v>0</v>
      </c>
      <c r="CY176" s="15" t="e">
        <f>SUM(CE176,#REF!,CS176)</f>
        <v>#REF!</v>
      </c>
      <c r="CZ176" s="1" t="e">
        <f t="shared" si="173"/>
        <v>#REF!</v>
      </c>
      <c r="DA176" s="82"/>
    </row>
    <row r="177" spans="1:105">
      <c r="A177" s="68"/>
      <c r="B177" s="14"/>
      <c r="H177" s="15">
        <f t="shared" si="153"/>
        <v>0</v>
      </c>
      <c r="I177" s="18">
        <f t="shared" ref="I177:I239" si="187">COUNTIF(C177:G177,"AB")</f>
        <v>0</v>
      </c>
      <c r="J177" s="15">
        <f t="shared" ref="J177:J239" si="188">H177+I177</f>
        <v>0</v>
      </c>
      <c r="O177" s="15">
        <f t="shared" si="163"/>
        <v>0</v>
      </c>
      <c r="P177" s="18">
        <f t="shared" si="151"/>
        <v>0</v>
      </c>
      <c r="Q177" s="15">
        <f t="shared" si="152"/>
        <v>0</v>
      </c>
      <c r="V177" s="15">
        <f t="shared" si="157"/>
        <v>0</v>
      </c>
      <c r="W177" s="15">
        <f t="shared" si="158"/>
        <v>0</v>
      </c>
      <c r="X177" s="15">
        <f t="shared" si="186"/>
        <v>0</v>
      </c>
      <c r="Y177" s="15">
        <f>J177+Q177+X177</f>
        <v>0</v>
      </c>
      <c r="Z177" s="15">
        <f>SUM(H177,O177,V177)</f>
        <v>0</v>
      </c>
      <c r="AA177" s="78" t="e">
        <f t="shared" si="170"/>
        <v>#DIV/0!</v>
      </c>
      <c r="AB177" s="82"/>
      <c r="AC177" s="76"/>
      <c r="AD177" s="72"/>
      <c r="AE177" s="72"/>
      <c r="AF177" s="72"/>
      <c r="AG177" s="15">
        <f t="shared" si="164"/>
        <v>0</v>
      </c>
      <c r="AH177" s="15">
        <f t="shared" si="174"/>
        <v>0</v>
      </c>
      <c r="AI177" s="15">
        <f t="shared" si="175"/>
        <v>0</v>
      </c>
      <c r="AJ177" s="76"/>
      <c r="AK177" s="72"/>
      <c r="AL177" s="72"/>
      <c r="AM177" s="72"/>
      <c r="AN177" s="72"/>
      <c r="AO177" s="15">
        <f t="shared" si="165"/>
        <v>0</v>
      </c>
      <c r="AP177" s="15">
        <f t="shared" si="176"/>
        <v>0</v>
      </c>
      <c r="AQ177" s="15">
        <f t="shared" si="177"/>
        <v>0</v>
      </c>
      <c r="AR177" s="76"/>
      <c r="AS177" s="72"/>
      <c r="AT177" s="72"/>
      <c r="AU177" s="72"/>
      <c r="AV177" s="15">
        <f>COUNTIF(AR177:AU177,"PR")</f>
        <v>0</v>
      </c>
      <c r="AW177" s="15">
        <f t="shared" si="159"/>
        <v>0</v>
      </c>
      <c r="AX177" s="15">
        <f t="shared" si="185"/>
        <v>0</v>
      </c>
      <c r="AY177" s="15">
        <f>AI177+AQ177+AX177</f>
        <v>0</v>
      </c>
      <c r="AZ177" s="15">
        <f>SUM(AG177,AO177,AV177)</f>
        <v>0</v>
      </c>
      <c r="BA177" s="78" t="e">
        <f t="shared" si="171"/>
        <v>#DIV/0!</v>
      </c>
      <c r="BD177" s="1"/>
      <c r="BF177" s="15">
        <f t="shared" si="166"/>
        <v>0</v>
      </c>
      <c r="BG177" s="15">
        <f t="shared" si="178"/>
        <v>0</v>
      </c>
      <c r="BH177" s="15">
        <f t="shared" si="179"/>
        <v>0</v>
      </c>
      <c r="BN177" s="15">
        <f t="shared" si="167"/>
        <v>0</v>
      </c>
      <c r="BO177" s="15">
        <f t="shared" si="160"/>
        <v>0</v>
      </c>
      <c r="BP177" s="15">
        <f t="shared" si="180"/>
        <v>0</v>
      </c>
      <c r="BU177" s="15">
        <f t="shared" si="168"/>
        <v>0</v>
      </c>
      <c r="BV177" s="15">
        <f t="shared" si="181"/>
        <v>0</v>
      </c>
      <c r="BW177" s="15">
        <f t="shared" si="182"/>
        <v>0</v>
      </c>
      <c r="BX177" s="15">
        <f t="shared" si="161"/>
        <v>0</v>
      </c>
      <c r="BY177" s="15">
        <f t="shared" si="162"/>
        <v>0</v>
      </c>
      <c r="BZ177" s="1" t="e">
        <f t="shared" si="172"/>
        <v>#DIV/0!</v>
      </c>
      <c r="CA177" s="82"/>
      <c r="CG177" s="15">
        <f>COUNTIF(CB177:CF177,"PR")</f>
        <v>0</v>
      </c>
      <c r="CH177" s="15">
        <f>COUNTIF(CB177:CF177,"AB")</f>
        <v>0</v>
      </c>
      <c r="CI177" s="15">
        <f t="shared" si="183"/>
        <v>0</v>
      </c>
      <c r="CN177" s="15">
        <f>COUNTIF(CJ177:CM177,"PR")</f>
        <v>0</v>
      </c>
      <c r="CO177" s="15">
        <f>COUNTIF(CJ177:CM177,"AB")</f>
        <v>0</v>
      </c>
      <c r="CP177" s="15">
        <f t="shared" si="184"/>
        <v>0</v>
      </c>
      <c r="CU177" s="15">
        <f t="shared" si="169"/>
        <v>0</v>
      </c>
      <c r="CV177" s="15">
        <f t="shared" si="155"/>
        <v>0</v>
      </c>
      <c r="CW177" s="15">
        <f t="shared" si="156"/>
        <v>0</v>
      </c>
      <c r="CX177" s="15">
        <f>CG177+CN177+CU177</f>
        <v>0</v>
      </c>
      <c r="CY177" s="15" t="e">
        <f>SUM(CE177,#REF!,CS177)</f>
        <v>#REF!</v>
      </c>
      <c r="CZ177" s="1" t="e">
        <f t="shared" si="173"/>
        <v>#REF!</v>
      </c>
      <c r="DA177" s="82"/>
    </row>
    <row r="178" spans="1:105">
      <c r="A178" s="68"/>
      <c r="B178" s="14"/>
      <c r="H178" s="15">
        <f t="shared" si="153"/>
        <v>0</v>
      </c>
      <c r="I178" s="18">
        <f t="shared" si="187"/>
        <v>0</v>
      </c>
      <c r="J178" s="15">
        <f t="shared" si="188"/>
        <v>0</v>
      </c>
      <c r="O178" s="15">
        <f t="shared" si="163"/>
        <v>0</v>
      </c>
      <c r="P178" s="18">
        <f t="shared" ref="P178:P242" si="189">COUNTIF(K178:N178,"AB")</f>
        <v>0</v>
      </c>
      <c r="Q178" s="15">
        <f t="shared" ref="Q178:Q242" si="190">O178+P178</f>
        <v>0</v>
      </c>
      <c r="V178" s="15">
        <f t="shared" si="157"/>
        <v>0</v>
      </c>
      <c r="W178" s="15">
        <f t="shared" si="158"/>
        <v>0</v>
      </c>
      <c r="X178" s="15">
        <f t="shared" si="186"/>
        <v>0</v>
      </c>
      <c r="Y178" s="15">
        <f>J178+Q178+X178</f>
        <v>0</v>
      </c>
      <c r="Z178" s="15">
        <f>SUM(H178,O178,V178)</f>
        <v>0</v>
      </c>
      <c r="AA178" s="78" t="e">
        <f t="shared" si="170"/>
        <v>#DIV/0!</v>
      </c>
      <c r="AB178" s="82"/>
      <c r="AG178" s="15">
        <f t="shared" si="164"/>
        <v>0</v>
      </c>
      <c r="AH178" s="15">
        <f t="shared" si="174"/>
        <v>0</v>
      </c>
      <c r="AI178" s="15">
        <f t="shared" si="175"/>
        <v>0</v>
      </c>
      <c r="AO178" s="15">
        <f t="shared" si="165"/>
        <v>0</v>
      </c>
      <c r="AP178" s="15">
        <f t="shared" si="176"/>
        <v>0</v>
      </c>
      <c r="AQ178" s="15">
        <f t="shared" si="177"/>
        <v>0</v>
      </c>
      <c r="AV178" s="15">
        <f>COUNTIF(AR178:AU178,"PR")</f>
        <v>0</v>
      </c>
      <c r="AW178" s="15">
        <f t="shared" si="159"/>
        <v>0</v>
      </c>
      <c r="AX178" s="15">
        <f t="shared" si="185"/>
        <v>0</v>
      </c>
      <c r="AY178" s="15">
        <f>AI178+AQ178+AX178</f>
        <v>0</v>
      </c>
      <c r="AZ178" s="15">
        <f>SUM(AG178,AO178,AV178)</f>
        <v>0</v>
      </c>
      <c r="BA178" s="78" t="e">
        <f t="shared" si="171"/>
        <v>#DIV/0!</v>
      </c>
      <c r="BD178" s="1"/>
      <c r="BF178" s="15">
        <f t="shared" si="166"/>
        <v>0</v>
      </c>
      <c r="BG178" s="15">
        <f t="shared" si="178"/>
        <v>0</v>
      </c>
      <c r="BH178" s="15">
        <f t="shared" si="179"/>
        <v>0</v>
      </c>
      <c r="BN178" s="15">
        <f t="shared" si="167"/>
        <v>0</v>
      </c>
      <c r="BO178" s="15">
        <f t="shared" si="160"/>
        <v>0</v>
      </c>
      <c r="BP178" s="15">
        <f t="shared" si="180"/>
        <v>0</v>
      </c>
      <c r="BU178" s="15">
        <f t="shared" si="168"/>
        <v>0</v>
      </c>
      <c r="BV178" s="15">
        <f t="shared" si="181"/>
        <v>0</v>
      </c>
      <c r="BW178" s="15">
        <f t="shared" si="182"/>
        <v>0</v>
      </c>
      <c r="BX178" s="15">
        <f t="shared" si="161"/>
        <v>0</v>
      </c>
      <c r="BY178" s="15">
        <f t="shared" si="162"/>
        <v>0</v>
      </c>
      <c r="BZ178" s="1" t="e">
        <f t="shared" si="172"/>
        <v>#DIV/0!</v>
      </c>
      <c r="CA178" s="82"/>
      <c r="CG178" s="15">
        <f>COUNTIF(CB178:CF178,"PR")</f>
        <v>0</v>
      </c>
      <c r="CH178" s="15">
        <f>COUNTIF(CB178:CF178,"AB")</f>
        <v>0</v>
      </c>
      <c r="CI178" s="15">
        <f t="shared" si="183"/>
        <v>0</v>
      </c>
      <c r="CN178" s="15">
        <f>COUNTIF(CJ178:CM178,"PR")</f>
        <v>0</v>
      </c>
      <c r="CO178" s="15">
        <f>COUNTIF(CJ178:CM178,"AB")</f>
        <v>0</v>
      </c>
      <c r="CP178" s="15">
        <f t="shared" si="184"/>
        <v>0</v>
      </c>
      <c r="CU178" s="15">
        <f t="shared" si="169"/>
        <v>0</v>
      </c>
      <c r="CV178" s="15">
        <f t="shared" si="155"/>
        <v>0</v>
      </c>
      <c r="CW178" s="15">
        <f t="shared" si="156"/>
        <v>0</v>
      </c>
      <c r="CX178" s="15">
        <f>CG178+CN178+CU178</f>
        <v>0</v>
      </c>
      <c r="CY178" s="15" t="e">
        <f>SUM(CE178,#REF!,CS178)</f>
        <v>#REF!</v>
      </c>
      <c r="CZ178" s="1" t="e">
        <f t="shared" si="173"/>
        <v>#REF!</v>
      </c>
      <c r="DA178" s="82"/>
    </row>
    <row r="179" spans="1:105">
      <c r="A179" s="68"/>
      <c r="B179" s="14"/>
      <c r="H179" s="15">
        <f t="shared" si="153"/>
        <v>0</v>
      </c>
      <c r="I179" s="18">
        <f t="shared" si="187"/>
        <v>0</v>
      </c>
      <c r="J179" s="15">
        <f t="shared" si="188"/>
        <v>0</v>
      </c>
      <c r="O179" s="15">
        <f t="shared" si="163"/>
        <v>0</v>
      </c>
      <c r="P179" s="18">
        <f t="shared" si="189"/>
        <v>0</v>
      </c>
      <c r="Q179" s="15">
        <f t="shared" si="190"/>
        <v>0</v>
      </c>
      <c r="V179" s="15">
        <f t="shared" si="157"/>
        <v>0</v>
      </c>
      <c r="W179" s="15">
        <f t="shared" si="158"/>
        <v>0</v>
      </c>
      <c r="X179" s="15">
        <f t="shared" si="186"/>
        <v>0</v>
      </c>
      <c r="Y179" s="15">
        <f>J179+Q179+X179</f>
        <v>0</v>
      </c>
      <c r="Z179" s="15">
        <f>SUM(H179,O179,V179)</f>
        <v>0</v>
      </c>
      <c r="AA179" s="78" t="e">
        <f t="shared" si="170"/>
        <v>#DIV/0!</v>
      </c>
      <c r="AB179" s="82"/>
      <c r="AG179" s="15">
        <f t="shared" si="164"/>
        <v>0</v>
      </c>
      <c r="AH179" s="15">
        <f t="shared" si="174"/>
        <v>0</v>
      </c>
      <c r="AI179" s="15">
        <f t="shared" si="175"/>
        <v>0</v>
      </c>
      <c r="AO179" s="15">
        <f t="shared" si="165"/>
        <v>0</v>
      </c>
      <c r="AP179" s="15">
        <f t="shared" si="176"/>
        <v>0</v>
      </c>
      <c r="AQ179" s="15">
        <f t="shared" si="177"/>
        <v>0</v>
      </c>
      <c r="AV179" s="15">
        <f>COUNTIF(AR179:AU179,"PR")</f>
        <v>0</v>
      </c>
      <c r="AW179" s="15">
        <f t="shared" si="159"/>
        <v>0</v>
      </c>
      <c r="AX179" s="15">
        <f t="shared" si="185"/>
        <v>0</v>
      </c>
      <c r="AY179" s="15">
        <f>AI179+AQ179+AX179</f>
        <v>0</v>
      </c>
      <c r="AZ179" s="15">
        <f>SUM(AG179,AO179,AV179)</f>
        <v>0</v>
      </c>
      <c r="BA179" s="78" t="e">
        <f t="shared" si="171"/>
        <v>#DIV/0!</v>
      </c>
      <c r="BD179" s="1"/>
      <c r="BF179" s="15">
        <f t="shared" si="166"/>
        <v>0</v>
      </c>
      <c r="BG179" s="15">
        <f t="shared" si="178"/>
        <v>0</v>
      </c>
      <c r="BH179" s="15">
        <f t="shared" si="179"/>
        <v>0</v>
      </c>
      <c r="BN179" s="15">
        <f t="shared" si="167"/>
        <v>0</v>
      </c>
      <c r="BO179" s="15">
        <f t="shared" si="160"/>
        <v>0</v>
      </c>
      <c r="BP179" s="15">
        <f t="shared" si="180"/>
        <v>0</v>
      </c>
      <c r="BU179" s="15">
        <f t="shared" si="168"/>
        <v>0</v>
      </c>
      <c r="BV179" s="15">
        <f t="shared" si="181"/>
        <v>0</v>
      </c>
      <c r="BW179" s="15">
        <f t="shared" si="182"/>
        <v>0</v>
      </c>
      <c r="BX179" s="15">
        <f t="shared" si="161"/>
        <v>0</v>
      </c>
      <c r="BY179" s="15">
        <f t="shared" si="162"/>
        <v>0</v>
      </c>
      <c r="BZ179" s="1" t="e">
        <f t="shared" si="172"/>
        <v>#DIV/0!</v>
      </c>
      <c r="CA179" s="82"/>
      <c r="CG179" s="15">
        <f>COUNTIF(CB179:CF179,"PR")</f>
        <v>0</v>
      </c>
      <c r="CH179" s="15">
        <f>COUNTIF(CB179:CF179,"AB")</f>
        <v>0</v>
      </c>
      <c r="CI179" s="15">
        <f t="shared" si="183"/>
        <v>0</v>
      </c>
      <c r="CN179" s="15">
        <f>COUNTIF(CJ179:CM179,"PR")</f>
        <v>0</v>
      </c>
      <c r="CO179" s="15">
        <f>COUNTIF(CJ179:CM179,"AB")</f>
        <v>0</v>
      </c>
      <c r="CP179" s="15">
        <f t="shared" si="184"/>
        <v>0</v>
      </c>
      <c r="CU179" s="15">
        <f t="shared" si="169"/>
        <v>0</v>
      </c>
      <c r="CV179" s="15">
        <f t="shared" si="155"/>
        <v>0</v>
      </c>
      <c r="CW179" s="15">
        <f t="shared" si="156"/>
        <v>0</v>
      </c>
      <c r="CX179" s="15">
        <f>CG179+CN179+CU179</f>
        <v>0</v>
      </c>
      <c r="CY179" s="15" t="e">
        <f>SUM(CE179,#REF!,CS179)</f>
        <v>#REF!</v>
      </c>
      <c r="CZ179" s="1" t="e">
        <f t="shared" si="173"/>
        <v>#REF!</v>
      </c>
      <c r="DA179" s="82"/>
    </row>
    <row r="180" spans="1:105">
      <c r="A180" s="68"/>
      <c r="B180" s="14"/>
      <c r="H180" s="15">
        <f t="shared" si="153"/>
        <v>0</v>
      </c>
      <c r="I180" s="18">
        <f t="shared" si="187"/>
        <v>0</v>
      </c>
      <c r="J180" s="15">
        <f t="shared" si="188"/>
        <v>0</v>
      </c>
      <c r="O180" s="15">
        <f t="shared" si="163"/>
        <v>0</v>
      </c>
      <c r="P180" s="18">
        <f t="shared" si="189"/>
        <v>0</v>
      </c>
      <c r="Q180" s="15">
        <f t="shared" si="190"/>
        <v>0</v>
      </c>
      <c r="V180" s="15">
        <f t="shared" si="157"/>
        <v>0</v>
      </c>
      <c r="W180" s="15">
        <f t="shared" si="158"/>
        <v>0</v>
      </c>
      <c r="X180" s="15">
        <f t="shared" si="186"/>
        <v>0</v>
      </c>
      <c r="Y180" s="15">
        <f>J180+Q180+X180</f>
        <v>0</v>
      </c>
      <c r="Z180" s="15">
        <f>SUM(H180,O180,V180)</f>
        <v>0</v>
      </c>
      <c r="AA180" s="78" t="e">
        <f t="shared" si="170"/>
        <v>#DIV/0!</v>
      </c>
      <c r="AB180" s="82"/>
      <c r="AG180" s="15">
        <f t="shared" si="164"/>
        <v>0</v>
      </c>
      <c r="AH180" s="15">
        <f t="shared" si="174"/>
        <v>0</v>
      </c>
      <c r="AI180" s="15">
        <f t="shared" si="175"/>
        <v>0</v>
      </c>
      <c r="AO180" s="15">
        <f t="shared" si="165"/>
        <v>0</v>
      </c>
      <c r="AP180" s="15">
        <f t="shared" si="176"/>
        <v>0</v>
      </c>
      <c r="AQ180" s="15">
        <f t="shared" si="177"/>
        <v>0</v>
      </c>
      <c r="AV180" s="15">
        <f>COUNTIF(AR180:AU180,"PR")</f>
        <v>0</v>
      </c>
      <c r="AW180" s="15">
        <f t="shared" si="159"/>
        <v>0</v>
      </c>
      <c r="AX180" s="15">
        <f t="shared" si="185"/>
        <v>0</v>
      </c>
      <c r="AY180" s="15">
        <f>AI180+AQ180+AX180</f>
        <v>0</v>
      </c>
      <c r="AZ180" s="15">
        <f>SUM(AG180,AO180,AV180)</f>
        <v>0</v>
      </c>
      <c r="BA180" s="78" t="e">
        <f t="shared" si="171"/>
        <v>#DIV/0!</v>
      </c>
      <c r="BD180" s="1"/>
      <c r="BF180" s="15">
        <f t="shared" si="166"/>
        <v>0</v>
      </c>
      <c r="BG180" s="15">
        <f t="shared" si="178"/>
        <v>0</v>
      </c>
      <c r="BH180" s="15">
        <f t="shared" si="179"/>
        <v>0</v>
      </c>
      <c r="BN180" s="15">
        <f t="shared" si="167"/>
        <v>0</v>
      </c>
      <c r="BO180" s="15">
        <f t="shared" si="160"/>
        <v>0</v>
      </c>
      <c r="BP180" s="15">
        <f t="shared" si="180"/>
        <v>0</v>
      </c>
      <c r="BU180" s="15">
        <f t="shared" si="168"/>
        <v>0</v>
      </c>
      <c r="BV180" s="15">
        <f t="shared" si="181"/>
        <v>0</v>
      </c>
      <c r="BW180" s="15">
        <f t="shared" si="182"/>
        <v>0</v>
      </c>
      <c r="BX180" s="15">
        <f t="shared" si="161"/>
        <v>0</v>
      </c>
      <c r="BY180" s="15">
        <f t="shared" si="162"/>
        <v>0</v>
      </c>
      <c r="BZ180" s="1" t="e">
        <f t="shared" si="172"/>
        <v>#DIV/0!</v>
      </c>
      <c r="CA180" s="82"/>
      <c r="CG180" s="15">
        <f>COUNTIF(CB180:CF180,"PR")</f>
        <v>0</v>
      </c>
      <c r="CH180" s="15">
        <f>COUNTIF(CB180:CF180,"AB")</f>
        <v>0</v>
      </c>
      <c r="CI180" s="15">
        <f t="shared" si="183"/>
        <v>0</v>
      </c>
      <c r="CN180" s="15">
        <f>COUNTIF(CJ180:CM180,"PR")</f>
        <v>0</v>
      </c>
      <c r="CO180" s="15">
        <f>COUNTIF(CJ180:CM180,"AB")</f>
        <v>0</v>
      </c>
      <c r="CP180" s="15">
        <f t="shared" si="184"/>
        <v>0</v>
      </c>
      <c r="CU180" s="15">
        <f t="shared" si="169"/>
        <v>0</v>
      </c>
      <c r="CV180" s="15">
        <f t="shared" si="155"/>
        <v>0</v>
      </c>
      <c r="CW180" s="15">
        <f t="shared" si="156"/>
        <v>0</v>
      </c>
      <c r="CX180" s="15">
        <f>CG180+CN180+CU180</f>
        <v>0</v>
      </c>
      <c r="CY180" s="15" t="e">
        <f>SUM(CE180,#REF!,CS180)</f>
        <v>#REF!</v>
      </c>
      <c r="CZ180" s="1" t="e">
        <f t="shared" si="173"/>
        <v>#REF!</v>
      </c>
      <c r="DA180" s="82"/>
    </row>
    <row r="181" spans="1:105">
      <c r="A181" s="68"/>
      <c r="B181" s="14"/>
      <c r="H181" s="15">
        <f t="shared" si="153"/>
        <v>0</v>
      </c>
      <c r="I181" s="18">
        <f t="shared" si="187"/>
        <v>0</v>
      </c>
      <c r="J181" s="15">
        <f t="shared" si="188"/>
        <v>0</v>
      </c>
      <c r="O181" s="15">
        <f t="shared" si="163"/>
        <v>0</v>
      </c>
      <c r="P181" s="18">
        <f t="shared" si="189"/>
        <v>0</v>
      </c>
      <c r="Q181" s="15">
        <f t="shared" si="190"/>
        <v>0</v>
      </c>
      <c r="V181" s="15">
        <f t="shared" si="157"/>
        <v>0</v>
      </c>
      <c r="W181" s="15">
        <f t="shared" si="158"/>
        <v>0</v>
      </c>
      <c r="X181" s="15">
        <f t="shared" si="186"/>
        <v>0</v>
      </c>
      <c r="Y181" s="15">
        <f>J181+Q181+X181</f>
        <v>0</v>
      </c>
      <c r="Z181" s="15">
        <f>SUM(H181,O181,V181)</f>
        <v>0</v>
      </c>
      <c r="AA181" s="78" t="e">
        <f t="shared" si="170"/>
        <v>#DIV/0!</v>
      </c>
      <c r="AB181" s="82"/>
      <c r="AG181" s="15">
        <f t="shared" si="164"/>
        <v>0</v>
      </c>
      <c r="AH181" s="15">
        <f t="shared" si="174"/>
        <v>0</v>
      </c>
      <c r="AI181" s="15">
        <f t="shared" si="175"/>
        <v>0</v>
      </c>
      <c r="AO181" s="15">
        <f t="shared" si="165"/>
        <v>0</v>
      </c>
      <c r="AP181" s="15">
        <f t="shared" si="176"/>
        <v>0</v>
      </c>
      <c r="AQ181" s="15">
        <f t="shared" si="177"/>
        <v>0</v>
      </c>
      <c r="AV181" s="15">
        <f>COUNTIF(AR181:AU181,"PR")</f>
        <v>0</v>
      </c>
      <c r="AW181" s="15">
        <f t="shared" si="159"/>
        <v>0</v>
      </c>
      <c r="AX181" s="15">
        <f t="shared" si="185"/>
        <v>0</v>
      </c>
      <c r="AY181" s="15">
        <f>AI181+AQ181+AX181</f>
        <v>0</v>
      </c>
      <c r="AZ181" s="15">
        <f>SUM(AG181,AO181,AV181)</f>
        <v>0</v>
      </c>
      <c r="BA181" s="78" t="e">
        <f t="shared" si="171"/>
        <v>#DIV/0!</v>
      </c>
      <c r="BD181" s="1"/>
      <c r="BF181" s="15">
        <f t="shared" si="166"/>
        <v>0</v>
      </c>
      <c r="BG181" s="15">
        <f t="shared" si="178"/>
        <v>0</v>
      </c>
      <c r="BH181" s="15">
        <f t="shared" si="179"/>
        <v>0</v>
      </c>
      <c r="BN181" s="15">
        <f t="shared" si="167"/>
        <v>0</v>
      </c>
      <c r="BO181" s="15">
        <f t="shared" si="160"/>
        <v>0</v>
      </c>
      <c r="BP181" s="15">
        <f t="shared" si="180"/>
        <v>0</v>
      </c>
      <c r="BU181" s="15">
        <f t="shared" si="168"/>
        <v>0</v>
      </c>
      <c r="BV181" s="15">
        <f t="shared" si="181"/>
        <v>0</v>
      </c>
      <c r="BW181" s="15">
        <f t="shared" si="182"/>
        <v>0</v>
      </c>
      <c r="BX181" s="15">
        <f t="shared" si="161"/>
        <v>0</v>
      </c>
      <c r="BY181" s="15">
        <f t="shared" si="162"/>
        <v>0</v>
      </c>
      <c r="BZ181" s="1" t="e">
        <f t="shared" si="172"/>
        <v>#DIV/0!</v>
      </c>
      <c r="CA181" s="82"/>
      <c r="CG181" s="15">
        <f>COUNTIF(CB181:CF181,"PR")</f>
        <v>0</v>
      </c>
      <c r="CH181" s="15">
        <f>COUNTIF(CB181:CF181,"AB")</f>
        <v>0</v>
      </c>
      <c r="CI181" s="15">
        <f t="shared" si="183"/>
        <v>0</v>
      </c>
      <c r="CN181" s="15">
        <f>COUNTIF(CJ181:CM181,"PR")</f>
        <v>0</v>
      </c>
      <c r="CO181" s="15">
        <f>COUNTIF(CJ181:CM181,"AB")</f>
        <v>0</v>
      </c>
      <c r="CP181" s="15">
        <f t="shared" si="184"/>
        <v>0</v>
      </c>
      <c r="CU181" s="15">
        <f t="shared" si="169"/>
        <v>0</v>
      </c>
      <c r="CV181" s="15">
        <f t="shared" si="155"/>
        <v>0</v>
      </c>
      <c r="CW181" s="15">
        <f t="shared" si="156"/>
        <v>0</v>
      </c>
      <c r="CX181" s="15">
        <f>CG181+CN181+CU181</f>
        <v>0</v>
      </c>
      <c r="CY181" s="15" t="e">
        <f>SUM(CE181,#REF!,CS181)</f>
        <v>#REF!</v>
      </c>
      <c r="CZ181" s="1" t="e">
        <f t="shared" si="173"/>
        <v>#REF!</v>
      </c>
      <c r="DA181" s="82"/>
    </row>
    <row r="182" spans="1:105">
      <c r="A182" s="68"/>
      <c r="B182" s="14"/>
      <c r="H182" s="15">
        <f t="shared" si="153"/>
        <v>0</v>
      </c>
      <c r="I182" s="18">
        <f t="shared" si="187"/>
        <v>0</v>
      </c>
      <c r="J182" s="15">
        <f t="shared" si="188"/>
        <v>0</v>
      </c>
      <c r="O182" s="15">
        <f t="shared" si="163"/>
        <v>0</v>
      </c>
      <c r="P182" s="18">
        <f t="shared" si="189"/>
        <v>0</v>
      </c>
      <c r="Q182" s="15">
        <f t="shared" si="190"/>
        <v>0</v>
      </c>
      <c r="V182" s="15">
        <f t="shared" si="157"/>
        <v>0</v>
      </c>
      <c r="W182" s="15">
        <f t="shared" si="158"/>
        <v>0</v>
      </c>
      <c r="X182" s="15">
        <f t="shared" si="186"/>
        <v>0</v>
      </c>
      <c r="Y182" s="15">
        <f>J182+Q182+X182</f>
        <v>0</v>
      </c>
      <c r="Z182" s="15">
        <f>SUM(H182,O182,V182)</f>
        <v>0</v>
      </c>
      <c r="AA182" s="78" t="e">
        <f t="shared" si="170"/>
        <v>#DIV/0!</v>
      </c>
      <c r="AB182" s="82"/>
      <c r="AG182" s="15">
        <f t="shared" si="164"/>
        <v>0</v>
      </c>
      <c r="AH182" s="15">
        <f t="shared" si="174"/>
        <v>0</v>
      </c>
      <c r="AI182" s="15">
        <f t="shared" si="175"/>
        <v>0</v>
      </c>
      <c r="AO182" s="15">
        <f t="shared" si="165"/>
        <v>0</v>
      </c>
      <c r="AP182" s="15">
        <f t="shared" si="176"/>
        <v>0</v>
      </c>
      <c r="AQ182" s="15">
        <f t="shared" si="177"/>
        <v>0</v>
      </c>
      <c r="AV182" s="15">
        <f>COUNTIF(AR182:AU182,"PR")</f>
        <v>0</v>
      </c>
      <c r="AW182" s="15">
        <f t="shared" si="159"/>
        <v>0</v>
      </c>
      <c r="AX182" s="15">
        <f t="shared" si="185"/>
        <v>0</v>
      </c>
      <c r="AY182" s="15">
        <f>AI182+AQ182+AX182</f>
        <v>0</v>
      </c>
      <c r="AZ182" s="15">
        <f>SUM(AG182,AO182,AV182)</f>
        <v>0</v>
      </c>
      <c r="BA182" s="78" t="e">
        <f t="shared" si="171"/>
        <v>#DIV/0!</v>
      </c>
      <c r="BD182" s="1"/>
      <c r="BF182" s="15">
        <f t="shared" si="166"/>
        <v>0</v>
      </c>
      <c r="BG182" s="15">
        <f t="shared" si="178"/>
        <v>0</v>
      </c>
      <c r="BH182" s="15">
        <f t="shared" si="179"/>
        <v>0</v>
      </c>
      <c r="BN182" s="15">
        <f t="shared" si="167"/>
        <v>0</v>
      </c>
      <c r="BO182" s="15">
        <f t="shared" si="160"/>
        <v>0</v>
      </c>
      <c r="BP182" s="15">
        <f t="shared" si="180"/>
        <v>0</v>
      </c>
      <c r="BU182" s="15">
        <f t="shared" si="168"/>
        <v>0</v>
      </c>
      <c r="BV182" s="15">
        <f t="shared" si="181"/>
        <v>0</v>
      </c>
      <c r="BW182" s="15">
        <f t="shared" si="182"/>
        <v>0</v>
      </c>
      <c r="BX182" s="15">
        <f t="shared" si="161"/>
        <v>0</v>
      </c>
      <c r="BY182" s="15">
        <f t="shared" si="162"/>
        <v>0</v>
      </c>
      <c r="BZ182" s="1" t="e">
        <f t="shared" si="172"/>
        <v>#DIV/0!</v>
      </c>
      <c r="CA182" s="82"/>
      <c r="CG182" s="15">
        <f>COUNTIF(CB182:CF182,"PR")</f>
        <v>0</v>
      </c>
      <c r="CH182" s="15">
        <f>COUNTIF(CB182:CF182,"AB")</f>
        <v>0</v>
      </c>
      <c r="CI182" s="15">
        <f t="shared" si="183"/>
        <v>0</v>
      </c>
      <c r="CN182" s="15">
        <f>COUNTIF(CJ182:CM182,"PR")</f>
        <v>0</v>
      </c>
      <c r="CO182" s="15">
        <f>COUNTIF(CJ182:CM182,"AB")</f>
        <v>0</v>
      </c>
      <c r="CP182" s="15">
        <f t="shared" si="184"/>
        <v>0</v>
      </c>
      <c r="CU182" s="15">
        <f t="shared" si="169"/>
        <v>0</v>
      </c>
      <c r="CV182" s="15">
        <f t="shared" si="155"/>
        <v>0</v>
      </c>
      <c r="CW182" s="15">
        <f t="shared" si="156"/>
        <v>0</v>
      </c>
      <c r="CX182" s="15">
        <f>CG182+CN182+CU182</f>
        <v>0</v>
      </c>
      <c r="CY182" s="15" t="e">
        <f>SUM(CE182,#REF!,CS182)</f>
        <v>#REF!</v>
      </c>
      <c r="CZ182" s="1" t="e">
        <f t="shared" si="173"/>
        <v>#REF!</v>
      </c>
      <c r="DA182" s="82"/>
    </row>
    <row r="183" spans="1:105">
      <c r="A183" s="68"/>
      <c r="B183" s="14"/>
      <c r="H183" s="15">
        <f t="shared" si="153"/>
        <v>0</v>
      </c>
      <c r="I183" s="18">
        <f t="shared" si="187"/>
        <v>0</v>
      </c>
      <c r="J183" s="15">
        <f t="shared" si="188"/>
        <v>0</v>
      </c>
      <c r="O183" s="15">
        <f t="shared" si="163"/>
        <v>0</v>
      </c>
      <c r="P183" s="18">
        <f t="shared" si="189"/>
        <v>0</v>
      </c>
      <c r="Q183" s="15">
        <f t="shared" si="190"/>
        <v>0</v>
      </c>
      <c r="V183" s="15">
        <f t="shared" si="157"/>
        <v>0</v>
      </c>
      <c r="W183" s="15">
        <f t="shared" si="158"/>
        <v>0</v>
      </c>
      <c r="X183" s="15">
        <f t="shared" si="186"/>
        <v>0</v>
      </c>
      <c r="Y183" s="15">
        <f>J183+Q183+X183</f>
        <v>0</v>
      </c>
      <c r="Z183" s="15">
        <f>SUM(H183,O183,V183)</f>
        <v>0</v>
      </c>
      <c r="AA183" s="78" t="e">
        <f t="shared" si="170"/>
        <v>#DIV/0!</v>
      </c>
      <c r="AB183" s="82"/>
      <c r="AG183" s="15">
        <f t="shared" si="164"/>
        <v>0</v>
      </c>
      <c r="AH183" s="15">
        <f t="shared" si="174"/>
        <v>0</v>
      </c>
      <c r="AI183" s="15">
        <f t="shared" si="175"/>
        <v>0</v>
      </c>
      <c r="AO183" s="15">
        <f t="shared" si="165"/>
        <v>0</v>
      </c>
      <c r="AP183" s="15">
        <f t="shared" si="176"/>
        <v>0</v>
      </c>
      <c r="AQ183" s="15">
        <f t="shared" si="177"/>
        <v>0</v>
      </c>
      <c r="AV183" s="15">
        <f>COUNTIF(AR183:AU183,"PR")</f>
        <v>0</v>
      </c>
      <c r="AW183" s="15">
        <f t="shared" si="159"/>
        <v>0</v>
      </c>
      <c r="AX183" s="15">
        <f t="shared" si="185"/>
        <v>0</v>
      </c>
      <c r="AY183" s="15">
        <f>AI183+AQ183+AX183</f>
        <v>0</v>
      </c>
      <c r="AZ183" s="15">
        <f>SUM(AG183,AO183,AV183)</f>
        <v>0</v>
      </c>
      <c r="BA183" s="78" t="e">
        <f t="shared" si="171"/>
        <v>#DIV/0!</v>
      </c>
      <c r="BD183" s="1"/>
      <c r="BF183" s="15">
        <f t="shared" si="166"/>
        <v>0</v>
      </c>
      <c r="BG183" s="15">
        <f t="shared" si="178"/>
        <v>0</v>
      </c>
      <c r="BH183" s="15">
        <f t="shared" si="179"/>
        <v>0</v>
      </c>
      <c r="BN183" s="15">
        <f t="shared" si="167"/>
        <v>0</v>
      </c>
      <c r="BO183" s="15">
        <f t="shared" si="160"/>
        <v>0</v>
      </c>
      <c r="BP183" s="15">
        <f t="shared" si="180"/>
        <v>0</v>
      </c>
      <c r="BU183" s="15">
        <f t="shared" si="168"/>
        <v>0</v>
      </c>
      <c r="BV183" s="15">
        <f t="shared" si="181"/>
        <v>0</v>
      </c>
      <c r="BW183" s="15">
        <f t="shared" si="182"/>
        <v>0</v>
      </c>
      <c r="BX183" s="15">
        <f t="shared" si="161"/>
        <v>0</v>
      </c>
      <c r="BY183" s="15">
        <f t="shared" si="162"/>
        <v>0</v>
      </c>
      <c r="BZ183" s="1" t="e">
        <f t="shared" si="172"/>
        <v>#DIV/0!</v>
      </c>
      <c r="CA183" s="82"/>
      <c r="CG183" s="15">
        <f>COUNTIF(CB183:CF183,"PR")</f>
        <v>0</v>
      </c>
      <c r="CH183" s="15">
        <f>COUNTIF(CB183:CF183,"AB")</f>
        <v>0</v>
      </c>
      <c r="CI183" s="15">
        <f t="shared" si="183"/>
        <v>0</v>
      </c>
      <c r="CN183" s="15">
        <f>COUNTIF(CJ183:CM183,"PR")</f>
        <v>0</v>
      </c>
      <c r="CO183" s="15">
        <f>COUNTIF(CJ183:CM183,"AB")</f>
        <v>0</v>
      </c>
      <c r="CP183" s="15">
        <f t="shared" si="184"/>
        <v>0</v>
      </c>
      <c r="CU183" s="15">
        <f t="shared" si="169"/>
        <v>0</v>
      </c>
      <c r="CV183" s="15">
        <f t="shared" si="155"/>
        <v>0</v>
      </c>
      <c r="CW183" s="15">
        <f t="shared" si="156"/>
        <v>0</v>
      </c>
      <c r="CX183" s="15">
        <f>CG183+CN183+CU183</f>
        <v>0</v>
      </c>
      <c r="CY183" s="15" t="e">
        <f>SUM(CE183,#REF!,CS183)</f>
        <v>#REF!</v>
      </c>
      <c r="CZ183" s="1" t="e">
        <f t="shared" si="173"/>
        <v>#REF!</v>
      </c>
      <c r="DA183" s="82"/>
    </row>
    <row r="184" spans="1:105">
      <c r="A184" s="68"/>
      <c r="B184" s="14"/>
      <c r="H184" s="15">
        <f t="shared" si="153"/>
        <v>0</v>
      </c>
      <c r="I184" s="18">
        <f t="shared" si="187"/>
        <v>0</v>
      </c>
      <c r="J184" s="15">
        <f t="shared" si="188"/>
        <v>0</v>
      </c>
      <c r="O184" s="15">
        <f t="shared" si="163"/>
        <v>0</v>
      </c>
      <c r="P184" s="18">
        <f t="shared" si="189"/>
        <v>0</v>
      </c>
      <c r="Q184" s="15">
        <f t="shared" si="190"/>
        <v>0</v>
      </c>
      <c r="V184" s="15">
        <f t="shared" si="157"/>
        <v>0</v>
      </c>
      <c r="W184" s="15">
        <f t="shared" si="158"/>
        <v>0</v>
      </c>
      <c r="X184" s="15">
        <f t="shared" si="186"/>
        <v>0</v>
      </c>
      <c r="Y184" s="15">
        <f>J184+Q184+X184</f>
        <v>0</v>
      </c>
      <c r="Z184" s="15">
        <f>SUM(H184,O184,V184)</f>
        <v>0</v>
      </c>
      <c r="AA184" s="78" t="e">
        <f t="shared" si="170"/>
        <v>#DIV/0!</v>
      </c>
      <c r="AB184" s="82"/>
      <c r="AG184" s="15">
        <f t="shared" si="164"/>
        <v>0</v>
      </c>
      <c r="AH184" s="15">
        <f t="shared" si="174"/>
        <v>0</v>
      </c>
      <c r="AI184" s="15">
        <f t="shared" si="175"/>
        <v>0</v>
      </c>
      <c r="AO184" s="15">
        <f t="shared" si="165"/>
        <v>0</v>
      </c>
      <c r="AP184" s="15">
        <f t="shared" si="176"/>
        <v>0</v>
      </c>
      <c r="AQ184" s="15">
        <f t="shared" si="177"/>
        <v>0</v>
      </c>
      <c r="AV184" s="15">
        <f>COUNTIF(AR184:AU184,"PR")</f>
        <v>0</v>
      </c>
      <c r="AW184" s="15">
        <f t="shared" si="159"/>
        <v>0</v>
      </c>
      <c r="AX184" s="15">
        <f t="shared" si="185"/>
        <v>0</v>
      </c>
      <c r="AY184" s="15">
        <f>AI184+AQ184+AX184</f>
        <v>0</v>
      </c>
      <c r="AZ184" s="15">
        <f>SUM(AG184,AO184,AV184)</f>
        <v>0</v>
      </c>
      <c r="BA184" s="78" t="e">
        <f t="shared" si="171"/>
        <v>#DIV/0!</v>
      </c>
      <c r="BD184" s="1"/>
      <c r="BF184" s="15">
        <f t="shared" si="166"/>
        <v>0</v>
      </c>
      <c r="BG184" s="15">
        <f t="shared" si="178"/>
        <v>0</v>
      </c>
      <c r="BH184" s="15">
        <f t="shared" si="179"/>
        <v>0</v>
      </c>
      <c r="BN184" s="15">
        <f t="shared" si="167"/>
        <v>0</v>
      </c>
      <c r="BO184" s="15">
        <f t="shared" si="160"/>
        <v>0</v>
      </c>
      <c r="BP184" s="15">
        <f t="shared" si="180"/>
        <v>0</v>
      </c>
      <c r="BU184" s="15">
        <f t="shared" si="168"/>
        <v>0</v>
      </c>
      <c r="BV184" s="15">
        <f t="shared" si="181"/>
        <v>0</v>
      </c>
      <c r="BW184" s="15">
        <f t="shared" si="182"/>
        <v>0</v>
      </c>
      <c r="BX184" s="15">
        <f t="shared" si="161"/>
        <v>0</v>
      </c>
      <c r="BY184" s="15">
        <f t="shared" si="162"/>
        <v>0</v>
      </c>
      <c r="BZ184" s="1" t="e">
        <f t="shared" si="172"/>
        <v>#DIV/0!</v>
      </c>
      <c r="CA184" s="82"/>
      <c r="CG184" s="15">
        <f>COUNTIF(CB184:CF184,"PR")</f>
        <v>0</v>
      </c>
      <c r="CH184" s="15">
        <f>COUNTIF(CB184:CF184,"AB")</f>
        <v>0</v>
      </c>
      <c r="CI184" s="15">
        <f t="shared" si="183"/>
        <v>0</v>
      </c>
      <c r="CN184" s="15">
        <f>COUNTIF(CJ184:CM184,"PR")</f>
        <v>0</v>
      </c>
      <c r="CO184" s="15">
        <f>COUNTIF(CJ184:CM184,"AB")</f>
        <v>0</v>
      </c>
      <c r="CP184" s="15">
        <f t="shared" si="184"/>
        <v>0</v>
      </c>
      <c r="CU184" s="15">
        <f t="shared" si="169"/>
        <v>0</v>
      </c>
      <c r="CV184" s="15">
        <f t="shared" si="155"/>
        <v>0</v>
      </c>
      <c r="CW184" s="15">
        <f t="shared" si="156"/>
        <v>0</v>
      </c>
      <c r="CX184" s="15">
        <f>CG184+CN184+CU184</f>
        <v>0</v>
      </c>
      <c r="CY184" s="15" t="e">
        <f>SUM(CE184,#REF!,CS184)</f>
        <v>#REF!</v>
      </c>
      <c r="CZ184" s="1" t="e">
        <f t="shared" si="173"/>
        <v>#REF!</v>
      </c>
      <c r="DA184" s="82"/>
    </row>
    <row r="185" spans="1:105">
      <c r="A185" s="68"/>
      <c r="B185" s="14"/>
      <c r="H185" s="15">
        <f t="shared" si="153"/>
        <v>0</v>
      </c>
      <c r="I185" s="18">
        <f t="shared" si="187"/>
        <v>0</v>
      </c>
      <c r="J185" s="15">
        <f t="shared" si="188"/>
        <v>0</v>
      </c>
      <c r="O185" s="15">
        <f t="shared" si="163"/>
        <v>0</v>
      </c>
      <c r="P185" s="18">
        <f t="shared" si="189"/>
        <v>0</v>
      </c>
      <c r="Q185" s="15">
        <f t="shared" si="190"/>
        <v>0</v>
      </c>
      <c r="V185" s="15">
        <f t="shared" si="157"/>
        <v>0</v>
      </c>
      <c r="W185" s="15">
        <f t="shared" si="158"/>
        <v>0</v>
      </c>
      <c r="X185" s="15">
        <f t="shared" si="186"/>
        <v>0</v>
      </c>
      <c r="Y185" s="15">
        <f>J185+Q185+X185</f>
        <v>0</v>
      </c>
      <c r="Z185" s="15">
        <f>SUM(H185,O185,V185)</f>
        <v>0</v>
      </c>
      <c r="AA185" s="78" t="e">
        <f t="shared" si="170"/>
        <v>#DIV/0!</v>
      </c>
      <c r="AB185" s="82"/>
      <c r="AC185" s="76"/>
      <c r="AD185" s="72"/>
      <c r="AE185" s="72"/>
      <c r="AF185" s="72"/>
      <c r="AG185" s="15">
        <f t="shared" si="164"/>
        <v>0</v>
      </c>
      <c r="AH185" s="15">
        <f t="shared" si="174"/>
        <v>0</v>
      </c>
      <c r="AI185" s="15">
        <f t="shared" si="175"/>
        <v>0</v>
      </c>
      <c r="AJ185" s="76"/>
      <c r="AK185" s="72"/>
      <c r="AL185" s="72"/>
      <c r="AM185" s="72"/>
      <c r="AN185" s="72"/>
      <c r="AO185" s="15">
        <f t="shared" si="165"/>
        <v>0</v>
      </c>
      <c r="AP185" s="15">
        <f t="shared" si="176"/>
        <v>0</v>
      </c>
      <c r="AQ185" s="15">
        <f t="shared" si="177"/>
        <v>0</v>
      </c>
      <c r="AR185" s="70"/>
      <c r="AS185" s="70"/>
      <c r="AT185" s="70"/>
      <c r="AV185" s="15">
        <f>COUNTIF(AR185:AU185,"PR")</f>
        <v>0</v>
      </c>
      <c r="AW185" s="15">
        <f t="shared" si="159"/>
        <v>0</v>
      </c>
      <c r="AX185" s="15">
        <f t="shared" si="185"/>
        <v>0</v>
      </c>
      <c r="AY185" s="15">
        <f>AI185+AQ185+AX185</f>
        <v>0</v>
      </c>
      <c r="AZ185" s="15">
        <f>SUM(AG185,AO185,AV185)</f>
        <v>0</v>
      </c>
      <c r="BA185" s="78" t="e">
        <f t="shared" si="171"/>
        <v>#DIV/0!</v>
      </c>
      <c r="BD185" s="1"/>
      <c r="BF185" s="15">
        <f t="shared" si="166"/>
        <v>0</v>
      </c>
      <c r="BG185" s="15">
        <f t="shared" si="178"/>
        <v>0</v>
      </c>
      <c r="BH185" s="15">
        <f t="shared" si="179"/>
        <v>0</v>
      </c>
      <c r="BN185" s="15">
        <f t="shared" si="167"/>
        <v>0</v>
      </c>
      <c r="BO185" s="15">
        <f t="shared" si="160"/>
        <v>0</v>
      </c>
      <c r="BP185" s="15">
        <f t="shared" si="180"/>
        <v>0</v>
      </c>
      <c r="BU185" s="15">
        <f t="shared" si="168"/>
        <v>0</v>
      </c>
      <c r="BV185" s="15">
        <f t="shared" si="181"/>
        <v>0</v>
      </c>
      <c r="BW185" s="15">
        <f t="shared" si="182"/>
        <v>0</v>
      </c>
      <c r="BX185" s="15">
        <f t="shared" si="161"/>
        <v>0</v>
      </c>
      <c r="BY185" s="15">
        <f t="shared" si="162"/>
        <v>0</v>
      </c>
      <c r="BZ185" s="1" t="e">
        <f t="shared" si="172"/>
        <v>#DIV/0!</v>
      </c>
      <c r="CA185" s="82"/>
      <c r="CG185" s="15">
        <f>COUNTIF(CB185:CF185,"PR")</f>
        <v>0</v>
      </c>
      <c r="CH185" s="15">
        <f>COUNTIF(CB185:CF185,"AB")</f>
        <v>0</v>
      </c>
      <c r="CI185" s="15">
        <f t="shared" si="183"/>
        <v>0</v>
      </c>
      <c r="CN185" s="15">
        <f>COUNTIF(CJ185:CM185,"PR")</f>
        <v>0</v>
      </c>
      <c r="CO185" s="15">
        <f>COUNTIF(CJ185:CM185,"AB")</f>
        <v>0</v>
      </c>
      <c r="CP185" s="15">
        <f t="shared" si="184"/>
        <v>0</v>
      </c>
      <c r="CU185" s="15">
        <f t="shared" si="169"/>
        <v>0</v>
      </c>
      <c r="CV185" s="15">
        <f t="shared" si="155"/>
        <v>0</v>
      </c>
      <c r="CW185" s="15">
        <f t="shared" si="156"/>
        <v>0</v>
      </c>
      <c r="CX185" s="15">
        <f>CG185+CN185+CU185</f>
        <v>0</v>
      </c>
      <c r="CY185" s="15" t="e">
        <f>SUM(CE185,#REF!,CS185)</f>
        <v>#REF!</v>
      </c>
      <c r="CZ185" s="1" t="e">
        <f t="shared" si="173"/>
        <v>#REF!</v>
      </c>
      <c r="DA185" s="82"/>
    </row>
    <row r="186" spans="1:105">
      <c r="A186" s="68"/>
      <c r="B186" s="14"/>
      <c r="H186" s="15">
        <f t="shared" si="153"/>
        <v>0</v>
      </c>
      <c r="I186" s="18">
        <f t="shared" si="187"/>
        <v>0</v>
      </c>
      <c r="J186" s="15">
        <f t="shared" si="188"/>
        <v>0</v>
      </c>
      <c r="O186" s="15">
        <f t="shared" si="163"/>
        <v>0</v>
      </c>
      <c r="P186" s="18">
        <f t="shared" si="189"/>
        <v>0</v>
      </c>
      <c r="Q186" s="15">
        <f t="shared" si="190"/>
        <v>0</v>
      </c>
      <c r="V186" s="15">
        <f t="shared" si="157"/>
        <v>0</v>
      </c>
      <c r="W186" s="15">
        <f t="shared" si="158"/>
        <v>0</v>
      </c>
      <c r="X186" s="15">
        <f t="shared" si="186"/>
        <v>0</v>
      </c>
      <c r="Y186" s="15">
        <f>J186+Q186+X186</f>
        <v>0</v>
      </c>
      <c r="Z186" s="15">
        <f>SUM(H186,O186,V186)</f>
        <v>0</v>
      </c>
      <c r="AA186" s="78" t="e">
        <f t="shared" si="170"/>
        <v>#DIV/0!</v>
      </c>
      <c r="AB186" s="82"/>
      <c r="AG186" s="15">
        <f t="shared" si="164"/>
        <v>0</v>
      </c>
      <c r="AH186" s="15">
        <f t="shared" si="174"/>
        <v>0</v>
      </c>
      <c r="AI186" s="15">
        <f t="shared" si="175"/>
        <v>0</v>
      </c>
      <c r="AO186" s="15">
        <f t="shared" si="165"/>
        <v>0</v>
      </c>
      <c r="AP186" s="15">
        <f t="shared" si="176"/>
        <v>0</v>
      </c>
      <c r="AQ186" s="15">
        <f t="shared" si="177"/>
        <v>0</v>
      </c>
      <c r="AR186" s="70"/>
      <c r="AS186" s="70"/>
      <c r="AT186" s="70"/>
      <c r="AV186" s="15">
        <f>COUNTIF(AR186:AU186,"PR")</f>
        <v>0</v>
      </c>
      <c r="AW186" s="15">
        <f t="shared" si="159"/>
        <v>0</v>
      </c>
      <c r="AX186" s="15">
        <f t="shared" si="185"/>
        <v>0</v>
      </c>
      <c r="AY186" s="15">
        <f>AI186+AQ186+AX186</f>
        <v>0</v>
      </c>
      <c r="AZ186" s="15">
        <f>SUM(AG186,AO186,AV186)</f>
        <v>0</v>
      </c>
      <c r="BA186" s="78" t="e">
        <f t="shared" si="171"/>
        <v>#DIV/0!</v>
      </c>
      <c r="BD186" s="1"/>
      <c r="BF186" s="15">
        <f t="shared" si="166"/>
        <v>0</v>
      </c>
      <c r="BG186" s="15">
        <f t="shared" si="178"/>
        <v>0</v>
      </c>
      <c r="BH186" s="15">
        <f t="shared" si="179"/>
        <v>0</v>
      </c>
      <c r="BN186" s="15">
        <f t="shared" si="167"/>
        <v>0</v>
      </c>
      <c r="BO186" s="15">
        <f t="shared" si="160"/>
        <v>0</v>
      </c>
      <c r="BP186" s="15">
        <f t="shared" si="180"/>
        <v>0</v>
      </c>
      <c r="BU186" s="15">
        <f t="shared" si="168"/>
        <v>0</v>
      </c>
      <c r="BV186" s="15">
        <f t="shared" si="181"/>
        <v>0</v>
      </c>
      <c r="BW186" s="15">
        <f t="shared" si="182"/>
        <v>0</v>
      </c>
      <c r="BX186" s="15">
        <f t="shared" si="161"/>
        <v>0</v>
      </c>
      <c r="BY186" s="15">
        <f t="shared" si="162"/>
        <v>0</v>
      </c>
      <c r="BZ186" s="1" t="e">
        <f t="shared" si="172"/>
        <v>#DIV/0!</v>
      </c>
      <c r="CA186" s="82"/>
      <c r="CG186" s="15">
        <f>COUNTIF(CB186:CF186,"PR")</f>
        <v>0</v>
      </c>
      <c r="CH186" s="15">
        <f>COUNTIF(CB186:CF186,"AB")</f>
        <v>0</v>
      </c>
      <c r="CI186" s="15">
        <f t="shared" si="183"/>
        <v>0</v>
      </c>
      <c r="CN186" s="15">
        <f>COUNTIF(CJ186:CM186,"PR")</f>
        <v>0</v>
      </c>
      <c r="CO186" s="15">
        <f>COUNTIF(CJ186:CM186,"AB")</f>
        <v>0</v>
      </c>
      <c r="CP186" s="15">
        <f t="shared" si="184"/>
        <v>0</v>
      </c>
      <c r="CU186" s="15">
        <f t="shared" si="169"/>
        <v>0</v>
      </c>
      <c r="CV186" s="15">
        <f t="shared" si="155"/>
        <v>0</v>
      </c>
      <c r="CW186" s="15">
        <f t="shared" si="156"/>
        <v>0</v>
      </c>
      <c r="CX186" s="15">
        <f>CG186+CN186+CU186</f>
        <v>0</v>
      </c>
      <c r="CY186" s="15" t="e">
        <f>SUM(CE186,#REF!,CS186)</f>
        <v>#REF!</v>
      </c>
      <c r="CZ186" s="1" t="e">
        <f t="shared" si="173"/>
        <v>#REF!</v>
      </c>
      <c r="DA186" s="82"/>
    </row>
    <row r="187" spans="1:105">
      <c r="A187" s="68"/>
      <c r="B187" s="14"/>
      <c r="H187" s="15">
        <f t="shared" si="153"/>
        <v>0</v>
      </c>
      <c r="I187" s="18">
        <f t="shared" si="187"/>
        <v>0</v>
      </c>
      <c r="J187" s="15">
        <f t="shared" si="188"/>
        <v>0</v>
      </c>
      <c r="O187" s="15">
        <f t="shared" si="163"/>
        <v>0</v>
      </c>
      <c r="P187" s="18">
        <f t="shared" si="189"/>
        <v>0</v>
      </c>
      <c r="Q187" s="15">
        <f t="shared" si="190"/>
        <v>0</v>
      </c>
      <c r="V187" s="15">
        <f t="shared" si="157"/>
        <v>0</v>
      </c>
      <c r="W187" s="15">
        <f t="shared" si="158"/>
        <v>0</v>
      </c>
      <c r="X187" s="15">
        <f t="shared" si="186"/>
        <v>0</v>
      </c>
      <c r="Y187" s="15">
        <f>J187+Q187+X187</f>
        <v>0</v>
      </c>
      <c r="Z187" s="15">
        <f>SUM(H187,O187,V187)</f>
        <v>0</v>
      </c>
      <c r="AA187" s="78" t="e">
        <f t="shared" si="170"/>
        <v>#DIV/0!</v>
      </c>
      <c r="AB187" s="82"/>
      <c r="AG187" s="15">
        <f t="shared" si="164"/>
        <v>0</v>
      </c>
      <c r="AH187" s="15">
        <f t="shared" si="174"/>
        <v>0</v>
      </c>
      <c r="AI187" s="15">
        <f t="shared" si="175"/>
        <v>0</v>
      </c>
      <c r="AO187" s="15">
        <f t="shared" si="165"/>
        <v>0</v>
      </c>
      <c r="AP187" s="15">
        <f t="shared" si="176"/>
        <v>0</v>
      </c>
      <c r="AQ187" s="15">
        <f t="shared" si="177"/>
        <v>0</v>
      </c>
      <c r="AR187" s="70"/>
      <c r="AS187" s="70"/>
      <c r="AT187" s="70"/>
      <c r="AV187" s="15">
        <f>COUNTIF(AR187:AU187,"PR")</f>
        <v>0</v>
      </c>
      <c r="AW187" s="15">
        <f t="shared" si="159"/>
        <v>0</v>
      </c>
      <c r="AX187" s="15">
        <f t="shared" si="185"/>
        <v>0</v>
      </c>
      <c r="AY187" s="15">
        <f>AI187+AQ187+AX187</f>
        <v>0</v>
      </c>
      <c r="AZ187" s="15">
        <f>SUM(AG187,AO187,AV187)</f>
        <v>0</v>
      </c>
      <c r="BA187" s="78" t="e">
        <f t="shared" si="171"/>
        <v>#DIV/0!</v>
      </c>
      <c r="BD187" s="1"/>
      <c r="BF187" s="15">
        <f t="shared" si="166"/>
        <v>0</v>
      </c>
      <c r="BG187" s="15">
        <f t="shared" si="178"/>
        <v>0</v>
      </c>
      <c r="BH187" s="15">
        <f t="shared" si="179"/>
        <v>0</v>
      </c>
      <c r="BN187" s="15">
        <f t="shared" si="167"/>
        <v>0</v>
      </c>
      <c r="BO187" s="15">
        <f t="shared" si="160"/>
        <v>0</v>
      </c>
      <c r="BP187" s="15">
        <f t="shared" si="180"/>
        <v>0</v>
      </c>
      <c r="BU187" s="15">
        <f t="shared" si="168"/>
        <v>0</v>
      </c>
      <c r="BV187" s="15">
        <f t="shared" si="181"/>
        <v>0</v>
      </c>
      <c r="BW187" s="15">
        <f t="shared" si="182"/>
        <v>0</v>
      </c>
      <c r="BX187" s="15">
        <f t="shared" si="161"/>
        <v>0</v>
      </c>
      <c r="BY187" s="15">
        <f t="shared" si="162"/>
        <v>0</v>
      </c>
      <c r="BZ187" s="1" t="e">
        <f t="shared" si="172"/>
        <v>#DIV/0!</v>
      </c>
      <c r="CA187" s="82"/>
      <c r="CG187" s="15">
        <f>COUNTIF(CB187:CF187,"PR")</f>
        <v>0</v>
      </c>
      <c r="CH187" s="15">
        <f>COUNTIF(CB187:CF187,"AB")</f>
        <v>0</v>
      </c>
      <c r="CI187" s="15">
        <f t="shared" si="183"/>
        <v>0</v>
      </c>
      <c r="CN187" s="15">
        <f>COUNTIF(CJ187:CM187,"PR")</f>
        <v>0</v>
      </c>
      <c r="CO187" s="15">
        <f>COUNTIF(CJ187:CM187,"AB")</f>
        <v>0</v>
      </c>
      <c r="CP187" s="15">
        <f t="shared" si="184"/>
        <v>0</v>
      </c>
      <c r="CU187" s="15">
        <f t="shared" si="169"/>
        <v>0</v>
      </c>
      <c r="CV187" s="15">
        <f t="shared" si="155"/>
        <v>0</v>
      </c>
      <c r="CW187" s="15">
        <f t="shared" si="156"/>
        <v>0</v>
      </c>
      <c r="CX187" s="15">
        <f>CG187+CN187+CU187</f>
        <v>0</v>
      </c>
      <c r="CY187" s="15" t="e">
        <f>SUM(CE187,#REF!,CS187)</f>
        <v>#REF!</v>
      </c>
      <c r="CZ187" s="1" t="e">
        <f t="shared" si="173"/>
        <v>#REF!</v>
      </c>
      <c r="DA187" s="82"/>
    </row>
    <row r="188" spans="1:105">
      <c r="A188" s="68"/>
      <c r="B188" s="14"/>
      <c r="H188" s="15">
        <f t="shared" si="153"/>
        <v>0</v>
      </c>
      <c r="I188" s="18">
        <f t="shared" si="187"/>
        <v>0</v>
      </c>
      <c r="J188" s="15">
        <f t="shared" si="188"/>
        <v>0</v>
      </c>
      <c r="O188" s="15">
        <f t="shared" si="163"/>
        <v>0</v>
      </c>
      <c r="P188" s="18">
        <f t="shared" si="189"/>
        <v>0</v>
      </c>
      <c r="Q188" s="15">
        <f t="shared" si="190"/>
        <v>0</v>
      </c>
      <c r="V188" s="15">
        <f t="shared" si="157"/>
        <v>0</v>
      </c>
      <c r="W188" s="15">
        <f t="shared" si="158"/>
        <v>0</v>
      </c>
      <c r="X188" s="15">
        <f t="shared" si="186"/>
        <v>0</v>
      </c>
      <c r="Y188" s="15">
        <f>J188+Q188+X188</f>
        <v>0</v>
      </c>
      <c r="Z188" s="15">
        <f>SUM(H188,O188,V188)</f>
        <v>0</v>
      </c>
      <c r="AA188" s="78" t="e">
        <f t="shared" si="170"/>
        <v>#DIV/0!</v>
      </c>
      <c r="AB188" s="82"/>
      <c r="AG188" s="15">
        <f t="shared" si="164"/>
        <v>0</v>
      </c>
      <c r="AH188" s="15">
        <f t="shared" si="174"/>
        <v>0</v>
      </c>
      <c r="AI188" s="15">
        <f t="shared" si="175"/>
        <v>0</v>
      </c>
      <c r="AO188" s="15">
        <f t="shared" si="165"/>
        <v>0</v>
      </c>
      <c r="AP188" s="15">
        <f t="shared" si="176"/>
        <v>0</v>
      </c>
      <c r="AQ188" s="15">
        <f t="shared" si="177"/>
        <v>0</v>
      </c>
      <c r="AR188" s="70"/>
      <c r="AS188" s="70"/>
      <c r="AT188" s="70"/>
      <c r="AV188" s="15">
        <f>COUNTIF(AR188:AU188,"PR")</f>
        <v>0</v>
      </c>
      <c r="AW188" s="15">
        <f t="shared" si="159"/>
        <v>0</v>
      </c>
      <c r="AX188" s="15">
        <f t="shared" si="185"/>
        <v>0</v>
      </c>
      <c r="AY188" s="15">
        <f>AI188+AQ188+AX188</f>
        <v>0</v>
      </c>
      <c r="AZ188" s="15">
        <f>SUM(AG188,AO188,AV188)</f>
        <v>0</v>
      </c>
      <c r="BA188" s="78" t="e">
        <f t="shared" si="171"/>
        <v>#DIV/0!</v>
      </c>
      <c r="BD188" s="1"/>
      <c r="BF188" s="15">
        <f t="shared" si="166"/>
        <v>0</v>
      </c>
      <c r="BG188" s="15">
        <f t="shared" si="178"/>
        <v>0</v>
      </c>
      <c r="BH188" s="15">
        <f t="shared" si="179"/>
        <v>0</v>
      </c>
      <c r="BN188" s="15">
        <f t="shared" si="167"/>
        <v>0</v>
      </c>
      <c r="BO188" s="15">
        <f t="shared" si="160"/>
        <v>0</v>
      </c>
      <c r="BP188" s="15">
        <f t="shared" si="180"/>
        <v>0</v>
      </c>
      <c r="BU188" s="15">
        <f t="shared" si="168"/>
        <v>0</v>
      </c>
      <c r="BV188" s="15">
        <f t="shared" si="181"/>
        <v>0</v>
      </c>
      <c r="BW188" s="15">
        <f t="shared" si="182"/>
        <v>0</v>
      </c>
      <c r="BX188" s="15">
        <f t="shared" si="161"/>
        <v>0</v>
      </c>
      <c r="BY188" s="15">
        <f t="shared" si="162"/>
        <v>0</v>
      </c>
      <c r="BZ188" s="1" t="e">
        <f t="shared" si="172"/>
        <v>#DIV/0!</v>
      </c>
      <c r="CA188" s="82"/>
      <c r="CG188" s="15">
        <f>COUNTIF(CB188:CF188,"PR")</f>
        <v>0</v>
      </c>
      <c r="CH188" s="15">
        <f>COUNTIF(CB188:CF188,"AB")</f>
        <v>0</v>
      </c>
      <c r="CI188" s="15">
        <f t="shared" si="183"/>
        <v>0</v>
      </c>
      <c r="CN188" s="15">
        <f>COUNTIF(CJ188:CM188,"PR")</f>
        <v>0</v>
      </c>
      <c r="CO188" s="15">
        <f>COUNTIF(CJ188:CM188,"AB")</f>
        <v>0</v>
      </c>
      <c r="CP188" s="15">
        <f t="shared" si="184"/>
        <v>0</v>
      </c>
      <c r="CU188" s="15">
        <f t="shared" si="169"/>
        <v>0</v>
      </c>
      <c r="CV188" s="15">
        <f t="shared" si="155"/>
        <v>0</v>
      </c>
      <c r="CW188" s="15">
        <f t="shared" si="156"/>
        <v>0</v>
      </c>
      <c r="CX188" s="15">
        <f>CG188+CN188+CU188</f>
        <v>0</v>
      </c>
      <c r="CY188" s="15" t="e">
        <f>SUM(CE188,#REF!,CS188)</f>
        <v>#REF!</v>
      </c>
      <c r="CZ188" s="1" t="e">
        <f t="shared" si="173"/>
        <v>#REF!</v>
      </c>
      <c r="DA188" s="82"/>
    </row>
    <row r="189" spans="1:105">
      <c r="A189" s="68"/>
      <c r="B189" s="14"/>
      <c r="H189" s="15">
        <f t="shared" si="153"/>
        <v>0</v>
      </c>
      <c r="I189" s="18">
        <f t="shared" si="187"/>
        <v>0</v>
      </c>
      <c r="J189" s="15">
        <f t="shared" si="188"/>
        <v>0</v>
      </c>
      <c r="O189" s="15">
        <f t="shared" si="163"/>
        <v>0</v>
      </c>
      <c r="P189" s="18">
        <f t="shared" si="189"/>
        <v>0</v>
      </c>
      <c r="Q189" s="15">
        <f t="shared" si="190"/>
        <v>0</v>
      </c>
      <c r="V189" s="15">
        <f t="shared" si="157"/>
        <v>0</v>
      </c>
      <c r="W189" s="15">
        <f t="shared" si="158"/>
        <v>0</v>
      </c>
      <c r="X189" s="15">
        <f t="shared" si="186"/>
        <v>0</v>
      </c>
      <c r="Y189" s="15">
        <f>J189+Q189+X189</f>
        <v>0</v>
      </c>
      <c r="Z189" s="15">
        <f>SUM(H189,O189,V189)</f>
        <v>0</v>
      </c>
      <c r="AA189" s="78" t="e">
        <f t="shared" si="170"/>
        <v>#DIV/0!</v>
      </c>
      <c r="AB189" s="82"/>
      <c r="AG189" s="15">
        <f t="shared" si="164"/>
        <v>0</v>
      </c>
      <c r="AH189" s="15">
        <f t="shared" si="174"/>
        <v>0</v>
      </c>
      <c r="AI189" s="15">
        <f t="shared" si="175"/>
        <v>0</v>
      </c>
      <c r="AO189" s="15">
        <f t="shared" si="165"/>
        <v>0</v>
      </c>
      <c r="AP189" s="15">
        <f t="shared" si="176"/>
        <v>0</v>
      </c>
      <c r="AQ189" s="15">
        <f t="shared" si="177"/>
        <v>0</v>
      </c>
      <c r="AR189" s="70"/>
      <c r="AS189" s="70"/>
      <c r="AT189" s="70"/>
      <c r="AV189" s="15">
        <f>COUNTIF(AR189:AU189,"PR")</f>
        <v>0</v>
      </c>
      <c r="AW189" s="15">
        <f t="shared" si="159"/>
        <v>0</v>
      </c>
      <c r="AX189" s="15">
        <f t="shared" si="185"/>
        <v>0</v>
      </c>
      <c r="AY189" s="15">
        <f>AI189+AQ189+AX189</f>
        <v>0</v>
      </c>
      <c r="AZ189" s="15">
        <f>SUM(AG189,AO189,AV189)</f>
        <v>0</v>
      </c>
      <c r="BA189" s="78" t="e">
        <f t="shared" si="171"/>
        <v>#DIV/0!</v>
      </c>
      <c r="BD189" s="1"/>
      <c r="BF189" s="15">
        <f t="shared" si="166"/>
        <v>0</v>
      </c>
      <c r="BG189" s="15">
        <f t="shared" si="178"/>
        <v>0</v>
      </c>
      <c r="BH189" s="15">
        <f t="shared" si="179"/>
        <v>0</v>
      </c>
      <c r="BN189" s="15">
        <f t="shared" si="167"/>
        <v>0</v>
      </c>
      <c r="BO189" s="15">
        <f t="shared" si="160"/>
        <v>0</v>
      </c>
      <c r="BP189" s="15">
        <f t="shared" si="180"/>
        <v>0</v>
      </c>
      <c r="BU189" s="15">
        <f t="shared" si="168"/>
        <v>0</v>
      </c>
      <c r="BV189" s="15">
        <f t="shared" si="181"/>
        <v>0</v>
      </c>
      <c r="BW189" s="15">
        <f t="shared" si="182"/>
        <v>0</v>
      </c>
      <c r="BX189" s="15">
        <f t="shared" si="161"/>
        <v>0</v>
      </c>
      <c r="BY189" s="15">
        <f t="shared" si="162"/>
        <v>0</v>
      </c>
      <c r="BZ189" s="1" t="e">
        <f t="shared" si="172"/>
        <v>#DIV/0!</v>
      </c>
      <c r="CA189" s="82"/>
      <c r="CG189" s="15">
        <f>COUNTIF(CB189:CF189,"PR")</f>
        <v>0</v>
      </c>
      <c r="CH189" s="15">
        <f>COUNTIF(CB189:CF189,"AB")</f>
        <v>0</v>
      </c>
      <c r="CI189" s="15">
        <f t="shared" si="183"/>
        <v>0</v>
      </c>
      <c r="CN189" s="15">
        <f>COUNTIF(CJ189:CM189,"PR")</f>
        <v>0</v>
      </c>
      <c r="CO189" s="15">
        <f>COUNTIF(CJ189:CM189,"AB")</f>
        <v>0</v>
      </c>
      <c r="CP189" s="15">
        <f t="shared" si="184"/>
        <v>0</v>
      </c>
      <c r="CU189" s="15">
        <f t="shared" si="169"/>
        <v>0</v>
      </c>
      <c r="CV189" s="15">
        <f t="shared" si="155"/>
        <v>0</v>
      </c>
      <c r="CW189" s="15">
        <f t="shared" si="156"/>
        <v>0</v>
      </c>
      <c r="CX189" s="15">
        <f>CG189+CN189+CU189</f>
        <v>0</v>
      </c>
      <c r="CY189" s="15" t="e">
        <f>SUM(CE189,#REF!,CS189)</f>
        <v>#REF!</v>
      </c>
      <c r="CZ189" s="1" t="e">
        <f t="shared" si="173"/>
        <v>#REF!</v>
      </c>
      <c r="DA189" s="82"/>
    </row>
    <row r="190" spans="1:105">
      <c r="A190" s="68"/>
      <c r="B190" s="14"/>
      <c r="H190" s="15">
        <f t="shared" si="153"/>
        <v>0</v>
      </c>
      <c r="I190" s="18">
        <f t="shared" si="187"/>
        <v>0</v>
      </c>
      <c r="J190" s="15">
        <f t="shared" si="188"/>
        <v>0</v>
      </c>
      <c r="O190" s="15">
        <f t="shared" si="163"/>
        <v>0</v>
      </c>
      <c r="P190" s="18">
        <f t="shared" si="189"/>
        <v>0</v>
      </c>
      <c r="Q190" s="15">
        <f t="shared" si="190"/>
        <v>0</v>
      </c>
      <c r="V190" s="15">
        <f t="shared" si="157"/>
        <v>0</v>
      </c>
      <c r="W190" s="15">
        <f t="shared" si="158"/>
        <v>0</v>
      </c>
      <c r="X190" s="15">
        <f t="shared" si="186"/>
        <v>0</v>
      </c>
      <c r="Y190" s="15">
        <f>J190+Q190+X190</f>
        <v>0</v>
      </c>
      <c r="Z190" s="15">
        <f>SUM(H190,O190,V190)</f>
        <v>0</v>
      </c>
      <c r="AA190" s="78" t="e">
        <f t="shared" si="170"/>
        <v>#DIV/0!</v>
      </c>
      <c r="AB190" s="82"/>
      <c r="AG190" s="15">
        <f t="shared" si="164"/>
        <v>0</v>
      </c>
      <c r="AH190" s="15">
        <f t="shared" si="174"/>
        <v>0</v>
      </c>
      <c r="AI190" s="15">
        <f t="shared" si="175"/>
        <v>0</v>
      </c>
      <c r="AN190" s="72"/>
      <c r="AO190" s="15">
        <f t="shared" si="165"/>
        <v>0</v>
      </c>
      <c r="AP190" s="15">
        <f t="shared" si="176"/>
        <v>0</v>
      </c>
      <c r="AQ190" s="15">
        <f t="shared" si="177"/>
        <v>0</v>
      </c>
      <c r="AR190" s="70"/>
      <c r="AS190" s="70"/>
      <c r="AT190" s="70"/>
      <c r="AV190" s="15">
        <f>COUNTIF(AR190:AU190,"PR")</f>
        <v>0</v>
      </c>
      <c r="AW190" s="15">
        <f t="shared" si="159"/>
        <v>0</v>
      </c>
      <c r="AX190" s="15">
        <f t="shared" si="185"/>
        <v>0</v>
      </c>
      <c r="AY190" s="15">
        <f>AI190+AQ190+AX190</f>
        <v>0</v>
      </c>
      <c r="AZ190" s="15">
        <f>SUM(AG190,AO190,AV190)</f>
        <v>0</v>
      </c>
      <c r="BA190" s="78" t="e">
        <f t="shared" si="171"/>
        <v>#DIV/0!</v>
      </c>
      <c r="BD190" s="1"/>
      <c r="BF190" s="15">
        <f t="shared" si="166"/>
        <v>0</v>
      </c>
      <c r="BG190" s="15">
        <f t="shared" si="178"/>
        <v>0</v>
      </c>
      <c r="BH190" s="15">
        <f t="shared" si="179"/>
        <v>0</v>
      </c>
      <c r="BN190" s="15">
        <f t="shared" si="167"/>
        <v>0</v>
      </c>
      <c r="BO190" s="15">
        <f t="shared" si="160"/>
        <v>0</v>
      </c>
      <c r="BP190" s="15">
        <f t="shared" si="180"/>
        <v>0</v>
      </c>
      <c r="BU190" s="15">
        <f t="shared" si="168"/>
        <v>0</v>
      </c>
      <c r="BV190" s="15">
        <f t="shared" si="181"/>
        <v>0</v>
      </c>
      <c r="BW190" s="15">
        <f t="shared" si="182"/>
        <v>0</v>
      </c>
      <c r="BX190" s="15">
        <f t="shared" si="161"/>
        <v>0</v>
      </c>
      <c r="BY190" s="15">
        <f t="shared" si="162"/>
        <v>0</v>
      </c>
      <c r="BZ190" s="1" t="e">
        <f t="shared" si="172"/>
        <v>#DIV/0!</v>
      </c>
      <c r="CA190" s="82"/>
      <c r="CG190" s="15">
        <f>COUNTIF(CB190:CF190,"PR")</f>
        <v>0</v>
      </c>
      <c r="CH190" s="15">
        <f>COUNTIF(CB190:CF190,"AB")</f>
        <v>0</v>
      </c>
      <c r="CI190" s="15">
        <f t="shared" si="183"/>
        <v>0</v>
      </c>
      <c r="CN190" s="15">
        <f>COUNTIF(CJ190:CM190,"PR")</f>
        <v>0</v>
      </c>
      <c r="CO190" s="15">
        <f>COUNTIF(CJ190:CM190,"AB")</f>
        <v>0</v>
      </c>
      <c r="CP190" s="15">
        <f t="shared" si="184"/>
        <v>0</v>
      </c>
      <c r="CU190" s="15">
        <f t="shared" si="169"/>
        <v>0</v>
      </c>
      <c r="CV190" s="15">
        <f t="shared" si="155"/>
        <v>0</v>
      </c>
      <c r="CW190" s="15">
        <f t="shared" si="156"/>
        <v>0</v>
      </c>
      <c r="CX190" s="15">
        <f>CG190+CN190+CU190</f>
        <v>0</v>
      </c>
      <c r="CY190" s="15" t="e">
        <f>SUM(CE190,#REF!,CS190)</f>
        <v>#REF!</v>
      </c>
      <c r="CZ190" s="1" t="e">
        <f t="shared" si="173"/>
        <v>#REF!</v>
      </c>
      <c r="DA190" s="82"/>
    </row>
    <row r="191" spans="1:105">
      <c r="A191" s="68"/>
      <c r="B191" s="14"/>
      <c r="H191" s="15">
        <f t="shared" si="153"/>
        <v>0</v>
      </c>
      <c r="I191" s="18">
        <f t="shared" si="187"/>
        <v>0</v>
      </c>
      <c r="J191" s="15">
        <f t="shared" si="188"/>
        <v>0</v>
      </c>
      <c r="O191" s="15">
        <f t="shared" si="163"/>
        <v>0</v>
      </c>
      <c r="P191" s="18">
        <f t="shared" si="189"/>
        <v>0</v>
      </c>
      <c r="Q191" s="15">
        <f t="shared" si="190"/>
        <v>0</v>
      </c>
      <c r="V191" s="15">
        <f t="shared" si="157"/>
        <v>0</v>
      </c>
      <c r="W191" s="15">
        <f t="shared" si="158"/>
        <v>0</v>
      </c>
      <c r="X191" s="15">
        <f t="shared" si="186"/>
        <v>0</v>
      </c>
      <c r="Y191" s="15">
        <f>J191+Q191+X191</f>
        <v>0</v>
      </c>
      <c r="Z191" s="15">
        <f>SUM(H191,O191,V191)</f>
        <v>0</v>
      </c>
      <c r="AA191" s="78" t="e">
        <f t="shared" si="170"/>
        <v>#DIV/0!</v>
      </c>
      <c r="AB191" s="82"/>
      <c r="AG191" s="15">
        <f t="shared" si="164"/>
        <v>0</v>
      </c>
      <c r="AH191" s="15">
        <f t="shared" si="174"/>
        <v>0</v>
      </c>
      <c r="AI191" s="15">
        <f t="shared" si="175"/>
        <v>0</v>
      </c>
      <c r="AN191" s="72"/>
      <c r="AO191" s="15">
        <f t="shared" si="165"/>
        <v>0</v>
      </c>
      <c r="AP191" s="15">
        <f t="shared" si="176"/>
        <v>0</v>
      </c>
      <c r="AQ191" s="15">
        <f t="shared" si="177"/>
        <v>0</v>
      </c>
      <c r="AR191" s="70"/>
      <c r="AS191" s="70"/>
      <c r="AT191" s="70"/>
      <c r="AV191" s="15">
        <f>COUNTIF(AR191:AU191,"PR")</f>
        <v>0</v>
      </c>
      <c r="AW191" s="15">
        <f t="shared" si="159"/>
        <v>0</v>
      </c>
      <c r="AX191" s="15">
        <f t="shared" si="185"/>
        <v>0</v>
      </c>
      <c r="AY191" s="15">
        <f>AI191+AQ191+AX191</f>
        <v>0</v>
      </c>
      <c r="AZ191" s="15">
        <f>SUM(AG191,AO191,AV191)</f>
        <v>0</v>
      </c>
      <c r="BA191" s="78" t="e">
        <f t="shared" si="171"/>
        <v>#DIV/0!</v>
      </c>
      <c r="BD191" s="1"/>
      <c r="BF191" s="15">
        <f t="shared" si="166"/>
        <v>0</v>
      </c>
      <c r="BG191" s="15">
        <f t="shared" si="178"/>
        <v>0</v>
      </c>
      <c r="BH191" s="15">
        <f t="shared" si="179"/>
        <v>0</v>
      </c>
      <c r="BN191" s="15">
        <f t="shared" si="167"/>
        <v>0</v>
      </c>
      <c r="BO191" s="15">
        <f t="shared" si="160"/>
        <v>0</v>
      </c>
      <c r="BP191" s="15">
        <f t="shared" si="180"/>
        <v>0</v>
      </c>
      <c r="BU191" s="15">
        <f t="shared" si="168"/>
        <v>0</v>
      </c>
      <c r="BV191" s="15">
        <f t="shared" si="181"/>
        <v>0</v>
      </c>
      <c r="BW191" s="15">
        <f t="shared" si="182"/>
        <v>0</v>
      </c>
      <c r="BX191" s="15">
        <f t="shared" si="161"/>
        <v>0</v>
      </c>
      <c r="BY191" s="15">
        <f t="shared" si="162"/>
        <v>0</v>
      </c>
      <c r="BZ191" s="1" t="e">
        <f t="shared" si="172"/>
        <v>#DIV/0!</v>
      </c>
      <c r="CA191" s="82"/>
      <c r="CG191" s="15">
        <f>COUNTIF(CB191:CF191,"PR")</f>
        <v>0</v>
      </c>
      <c r="CH191" s="15">
        <f>COUNTIF(CB191:CF191,"AB")</f>
        <v>0</v>
      </c>
      <c r="CI191" s="15">
        <f t="shared" si="183"/>
        <v>0</v>
      </c>
      <c r="CN191" s="15">
        <f>COUNTIF(CJ191:CM191,"PR")</f>
        <v>0</v>
      </c>
      <c r="CO191" s="15">
        <f>COUNTIF(CJ191:CM191,"AB")</f>
        <v>0</v>
      </c>
      <c r="CP191" s="15">
        <f t="shared" si="184"/>
        <v>0</v>
      </c>
      <c r="CU191" s="15">
        <f t="shared" si="169"/>
        <v>0</v>
      </c>
      <c r="CV191" s="15">
        <f t="shared" si="155"/>
        <v>0</v>
      </c>
      <c r="CW191" s="15">
        <f t="shared" si="156"/>
        <v>0</v>
      </c>
      <c r="CX191" s="15">
        <f>CG191+CN191+CU191</f>
        <v>0</v>
      </c>
      <c r="CY191" s="15" t="e">
        <f>SUM(CE191,#REF!,CS191)</f>
        <v>#REF!</v>
      </c>
      <c r="CZ191" s="1" t="e">
        <f t="shared" si="173"/>
        <v>#REF!</v>
      </c>
      <c r="DA191" s="82"/>
    </row>
    <row r="192" spans="1:105">
      <c r="A192" s="68"/>
      <c r="B192" s="14"/>
      <c r="H192" s="15">
        <f t="shared" si="153"/>
        <v>0</v>
      </c>
      <c r="I192" s="18">
        <f t="shared" si="187"/>
        <v>0</v>
      </c>
      <c r="J192" s="15">
        <f t="shared" si="188"/>
        <v>0</v>
      </c>
      <c r="O192" s="15">
        <f t="shared" si="163"/>
        <v>0</v>
      </c>
      <c r="P192" s="18">
        <f t="shared" si="189"/>
        <v>0</v>
      </c>
      <c r="Q192" s="15">
        <f t="shared" si="190"/>
        <v>0</v>
      </c>
      <c r="V192" s="15">
        <f t="shared" si="157"/>
        <v>0</v>
      </c>
      <c r="W192" s="15">
        <f t="shared" si="158"/>
        <v>0</v>
      </c>
      <c r="X192" s="15">
        <f t="shared" si="186"/>
        <v>0</v>
      </c>
      <c r="Y192" s="15">
        <f>J192+Q192+X192</f>
        <v>0</v>
      </c>
      <c r="Z192" s="15">
        <f>SUM(H192,O192,V192)</f>
        <v>0</v>
      </c>
      <c r="AA192" s="78" t="e">
        <f t="shared" si="170"/>
        <v>#DIV/0!</v>
      </c>
      <c r="AB192" s="82"/>
      <c r="AG192" s="15">
        <f t="shared" si="164"/>
        <v>0</v>
      </c>
      <c r="AH192" s="15">
        <f t="shared" si="174"/>
        <v>0</v>
      </c>
      <c r="AI192" s="15">
        <f t="shared" si="175"/>
        <v>0</v>
      </c>
      <c r="AN192" s="72"/>
      <c r="AO192" s="15">
        <f t="shared" si="165"/>
        <v>0</v>
      </c>
      <c r="AP192" s="15">
        <f t="shared" si="176"/>
        <v>0</v>
      </c>
      <c r="AQ192" s="15">
        <f t="shared" si="177"/>
        <v>0</v>
      </c>
      <c r="AR192" s="70"/>
      <c r="AS192" s="70"/>
      <c r="AT192" s="70"/>
      <c r="AV192" s="15">
        <f>COUNTIF(AR192:AU192,"PR")</f>
        <v>0</v>
      </c>
      <c r="AW192" s="15">
        <f t="shared" si="159"/>
        <v>0</v>
      </c>
      <c r="AX192" s="15">
        <f t="shared" si="185"/>
        <v>0</v>
      </c>
      <c r="AY192" s="15">
        <f>AI192+AQ192+AX192</f>
        <v>0</v>
      </c>
      <c r="AZ192" s="15">
        <f>SUM(AG192,AO192,AV192)</f>
        <v>0</v>
      </c>
      <c r="BA192" s="78" t="e">
        <f t="shared" si="171"/>
        <v>#DIV/0!</v>
      </c>
      <c r="BD192" s="1"/>
      <c r="BF192" s="15">
        <f t="shared" si="166"/>
        <v>0</v>
      </c>
      <c r="BG192" s="15">
        <f t="shared" si="178"/>
        <v>0</v>
      </c>
      <c r="BH192" s="15">
        <f t="shared" si="179"/>
        <v>0</v>
      </c>
      <c r="BN192" s="15">
        <f t="shared" si="167"/>
        <v>0</v>
      </c>
      <c r="BO192" s="15">
        <f t="shared" si="160"/>
        <v>0</v>
      </c>
      <c r="BP192" s="15">
        <f t="shared" si="180"/>
        <v>0</v>
      </c>
      <c r="BU192" s="15">
        <f t="shared" si="168"/>
        <v>0</v>
      </c>
      <c r="BV192" s="15">
        <f t="shared" si="181"/>
        <v>0</v>
      </c>
      <c r="BW192" s="15">
        <f t="shared" si="182"/>
        <v>0</v>
      </c>
      <c r="BX192" s="15">
        <f t="shared" si="161"/>
        <v>0</v>
      </c>
      <c r="BY192" s="15">
        <f t="shared" si="162"/>
        <v>0</v>
      </c>
      <c r="BZ192" s="1" t="e">
        <f t="shared" si="172"/>
        <v>#DIV/0!</v>
      </c>
      <c r="CA192" s="82"/>
      <c r="CG192" s="15">
        <f>COUNTIF(CB192:CF192,"PR")</f>
        <v>0</v>
      </c>
      <c r="CH192" s="15">
        <f>COUNTIF(CB192:CF192,"AB")</f>
        <v>0</v>
      </c>
      <c r="CI192" s="15">
        <f t="shared" si="183"/>
        <v>0</v>
      </c>
      <c r="CN192" s="15">
        <f>COUNTIF(CJ192:CM192,"PR")</f>
        <v>0</v>
      </c>
      <c r="CO192" s="15">
        <f>COUNTIF(CJ192:CM192,"AB")</f>
        <v>0</v>
      </c>
      <c r="CP192" s="15">
        <f t="shared" si="184"/>
        <v>0</v>
      </c>
      <c r="CU192" s="15">
        <f t="shared" si="169"/>
        <v>0</v>
      </c>
      <c r="CV192" s="15">
        <f t="shared" si="155"/>
        <v>0</v>
      </c>
      <c r="CW192" s="15">
        <f t="shared" si="156"/>
        <v>0</v>
      </c>
      <c r="CX192" s="15">
        <f>CG192+CN192+CU192</f>
        <v>0</v>
      </c>
      <c r="CY192" s="15" t="e">
        <f>SUM(CE192,#REF!,CS192)</f>
        <v>#REF!</v>
      </c>
      <c r="CZ192" s="1" t="e">
        <f t="shared" si="173"/>
        <v>#REF!</v>
      </c>
      <c r="DA192" s="82"/>
    </row>
    <row r="193" spans="1:105">
      <c r="A193" s="68"/>
      <c r="B193" s="14"/>
      <c r="H193" s="15">
        <f t="shared" si="153"/>
        <v>0</v>
      </c>
      <c r="I193" s="18">
        <f t="shared" si="187"/>
        <v>0</v>
      </c>
      <c r="J193" s="15">
        <f t="shared" si="188"/>
        <v>0</v>
      </c>
      <c r="O193" s="15">
        <f t="shared" si="163"/>
        <v>0</v>
      </c>
      <c r="P193" s="18">
        <f t="shared" si="189"/>
        <v>0</v>
      </c>
      <c r="Q193" s="15">
        <f t="shared" si="190"/>
        <v>0</v>
      </c>
      <c r="V193" s="15">
        <f t="shared" si="157"/>
        <v>0</v>
      </c>
      <c r="W193" s="15">
        <f t="shared" si="158"/>
        <v>0</v>
      </c>
      <c r="X193" s="15">
        <f t="shared" si="186"/>
        <v>0</v>
      </c>
      <c r="Y193" s="15">
        <f>J193+Q193+X193</f>
        <v>0</v>
      </c>
      <c r="Z193" s="15">
        <f>SUM(H193,O193,V193)</f>
        <v>0</v>
      </c>
      <c r="AA193" s="78" t="e">
        <f t="shared" si="170"/>
        <v>#DIV/0!</v>
      </c>
      <c r="AB193" s="82"/>
      <c r="AC193" s="76"/>
      <c r="AD193" s="72"/>
      <c r="AE193" s="72"/>
      <c r="AF193" s="72"/>
      <c r="AG193" s="15">
        <f t="shared" si="164"/>
        <v>0</v>
      </c>
      <c r="AH193" s="15">
        <f t="shared" si="174"/>
        <v>0</v>
      </c>
      <c r="AI193" s="15">
        <f t="shared" si="175"/>
        <v>0</v>
      </c>
      <c r="AJ193" s="76"/>
      <c r="AK193" s="72"/>
      <c r="AL193" s="72"/>
      <c r="AM193" s="72"/>
      <c r="AN193" s="72"/>
      <c r="AO193" s="15">
        <f t="shared" si="165"/>
        <v>0</v>
      </c>
      <c r="AP193" s="15">
        <f t="shared" si="176"/>
        <v>0</v>
      </c>
      <c r="AQ193" s="15">
        <f t="shared" si="177"/>
        <v>0</v>
      </c>
      <c r="AR193" s="70"/>
      <c r="AS193" s="70"/>
      <c r="AT193" s="70"/>
      <c r="AV193" s="15">
        <f>COUNTIF(AR193:AU193,"PR")</f>
        <v>0</v>
      </c>
      <c r="AW193" s="15">
        <f t="shared" si="159"/>
        <v>0</v>
      </c>
      <c r="AX193" s="15">
        <f t="shared" si="185"/>
        <v>0</v>
      </c>
      <c r="AY193" s="15">
        <f>AI193+AQ193+AX193</f>
        <v>0</v>
      </c>
      <c r="AZ193" s="15">
        <f>SUM(AG193,AO193,AV193)</f>
        <v>0</v>
      </c>
      <c r="BA193" s="78" t="e">
        <f t="shared" si="171"/>
        <v>#DIV/0!</v>
      </c>
      <c r="BD193" s="1"/>
      <c r="BF193" s="15">
        <f t="shared" si="166"/>
        <v>0</v>
      </c>
      <c r="BG193" s="15">
        <f t="shared" si="178"/>
        <v>0</v>
      </c>
      <c r="BH193" s="15">
        <f t="shared" si="179"/>
        <v>0</v>
      </c>
      <c r="BN193" s="15">
        <f t="shared" si="167"/>
        <v>0</v>
      </c>
      <c r="BO193" s="15">
        <f t="shared" si="160"/>
        <v>0</v>
      </c>
      <c r="BP193" s="15">
        <f t="shared" si="180"/>
        <v>0</v>
      </c>
      <c r="BU193" s="15">
        <f t="shared" si="168"/>
        <v>0</v>
      </c>
      <c r="BV193" s="15">
        <f t="shared" si="181"/>
        <v>0</v>
      </c>
      <c r="BW193" s="15">
        <f t="shared" si="182"/>
        <v>0</v>
      </c>
      <c r="BX193" s="15">
        <f t="shared" si="161"/>
        <v>0</v>
      </c>
      <c r="BY193" s="15">
        <f t="shared" si="162"/>
        <v>0</v>
      </c>
      <c r="BZ193" s="1" t="e">
        <f t="shared" si="172"/>
        <v>#DIV/0!</v>
      </c>
      <c r="CA193" s="82"/>
      <c r="CG193" s="15">
        <f>COUNTIF(CB193:CF193,"PR")</f>
        <v>0</v>
      </c>
      <c r="CH193" s="15">
        <f>COUNTIF(CB193:CF193,"AB")</f>
        <v>0</v>
      </c>
      <c r="CI193" s="15">
        <f t="shared" si="183"/>
        <v>0</v>
      </c>
      <c r="CN193" s="15">
        <f>COUNTIF(CJ193:CM193,"PR")</f>
        <v>0</v>
      </c>
      <c r="CO193" s="15">
        <f>COUNTIF(CJ193:CM193,"AB")</f>
        <v>0</v>
      </c>
      <c r="CP193" s="15">
        <f t="shared" si="184"/>
        <v>0</v>
      </c>
      <c r="CU193" s="15">
        <f t="shared" si="169"/>
        <v>0</v>
      </c>
      <c r="CV193" s="15">
        <f t="shared" si="155"/>
        <v>0</v>
      </c>
      <c r="CW193" s="15">
        <f t="shared" si="156"/>
        <v>0</v>
      </c>
      <c r="CX193" s="15">
        <f>CG193+CN193+CU193</f>
        <v>0</v>
      </c>
      <c r="CY193" s="15" t="e">
        <f>SUM(CE193,#REF!,CS193)</f>
        <v>#REF!</v>
      </c>
      <c r="CZ193" s="1" t="e">
        <f t="shared" si="173"/>
        <v>#REF!</v>
      </c>
      <c r="DA193" s="82"/>
    </row>
    <row r="194" spans="1:105">
      <c r="A194" s="68"/>
      <c r="B194" s="14"/>
      <c r="H194" s="15">
        <f t="shared" si="153"/>
        <v>0</v>
      </c>
      <c r="I194" s="18">
        <f t="shared" si="187"/>
        <v>0</v>
      </c>
      <c r="J194" s="15">
        <f t="shared" si="188"/>
        <v>0</v>
      </c>
      <c r="O194" s="15">
        <f t="shared" si="163"/>
        <v>0</v>
      </c>
      <c r="P194" s="18">
        <f t="shared" si="189"/>
        <v>0</v>
      </c>
      <c r="Q194" s="15">
        <f t="shared" si="190"/>
        <v>0</v>
      </c>
      <c r="V194" s="15">
        <f t="shared" si="157"/>
        <v>0</v>
      </c>
      <c r="W194" s="15">
        <f t="shared" si="158"/>
        <v>0</v>
      </c>
      <c r="X194" s="15">
        <f t="shared" si="186"/>
        <v>0</v>
      </c>
      <c r="Y194" s="15">
        <f>J194+Q194+X194</f>
        <v>0</v>
      </c>
      <c r="Z194" s="15">
        <f>SUM(H194,O194,V194)</f>
        <v>0</v>
      </c>
      <c r="AA194" s="78" t="e">
        <f t="shared" si="170"/>
        <v>#DIV/0!</v>
      </c>
      <c r="AB194" s="82"/>
      <c r="AG194" s="15">
        <f t="shared" si="164"/>
        <v>0</v>
      </c>
      <c r="AH194" s="15">
        <f t="shared" si="174"/>
        <v>0</v>
      </c>
      <c r="AI194" s="15">
        <f t="shared" si="175"/>
        <v>0</v>
      </c>
      <c r="AN194" s="72"/>
      <c r="AO194" s="15">
        <f t="shared" si="165"/>
        <v>0</v>
      </c>
      <c r="AP194" s="15">
        <f t="shared" si="176"/>
        <v>0</v>
      </c>
      <c r="AQ194" s="15">
        <f t="shared" si="177"/>
        <v>0</v>
      </c>
      <c r="AR194" s="70"/>
      <c r="AS194" s="70"/>
      <c r="AT194" s="70"/>
      <c r="AV194" s="15">
        <f>COUNTIF(AR194:AU194,"PR")</f>
        <v>0</v>
      </c>
      <c r="AW194" s="15">
        <f t="shared" si="159"/>
        <v>0</v>
      </c>
      <c r="AX194" s="15">
        <f t="shared" si="185"/>
        <v>0</v>
      </c>
      <c r="AY194" s="15">
        <f>AI194+AQ194+AX194</f>
        <v>0</v>
      </c>
      <c r="AZ194" s="15">
        <f>SUM(AG194,AO194,AV194)</f>
        <v>0</v>
      </c>
      <c r="BA194" s="78" t="e">
        <f t="shared" si="171"/>
        <v>#DIV/0!</v>
      </c>
      <c r="BD194" s="1"/>
      <c r="BF194" s="15">
        <f t="shared" si="166"/>
        <v>0</v>
      </c>
      <c r="BG194" s="15">
        <f t="shared" si="178"/>
        <v>0</v>
      </c>
      <c r="BH194" s="15">
        <f t="shared" si="179"/>
        <v>0</v>
      </c>
      <c r="BN194" s="15">
        <f t="shared" si="167"/>
        <v>0</v>
      </c>
      <c r="BO194" s="15">
        <f t="shared" si="160"/>
        <v>0</v>
      </c>
      <c r="BP194" s="15">
        <f t="shared" si="180"/>
        <v>0</v>
      </c>
      <c r="BU194" s="15">
        <f t="shared" si="168"/>
        <v>0</v>
      </c>
      <c r="BV194" s="15">
        <f t="shared" si="181"/>
        <v>0</v>
      </c>
      <c r="BW194" s="15">
        <f t="shared" si="182"/>
        <v>0</v>
      </c>
      <c r="BX194" s="15">
        <f t="shared" si="161"/>
        <v>0</v>
      </c>
      <c r="BY194" s="15">
        <f t="shared" si="162"/>
        <v>0</v>
      </c>
      <c r="BZ194" s="1" t="e">
        <f t="shared" si="172"/>
        <v>#DIV/0!</v>
      </c>
      <c r="CA194" s="82"/>
      <c r="CG194" s="15">
        <f>COUNTIF(CB194:CF194,"PR")</f>
        <v>0</v>
      </c>
      <c r="CH194" s="15">
        <f>COUNTIF(CB194:CF194,"AB")</f>
        <v>0</v>
      </c>
      <c r="CI194" s="15">
        <f t="shared" si="183"/>
        <v>0</v>
      </c>
      <c r="CN194" s="15">
        <f>COUNTIF(CJ194:CM194,"PR")</f>
        <v>0</v>
      </c>
      <c r="CO194" s="15">
        <f>COUNTIF(CJ194:CM194,"AB")</f>
        <v>0</v>
      </c>
      <c r="CP194" s="15">
        <f t="shared" si="184"/>
        <v>0</v>
      </c>
      <c r="CU194" s="15">
        <f t="shared" si="169"/>
        <v>0</v>
      </c>
      <c r="CV194" s="15">
        <f t="shared" si="155"/>
        <v>0</v>
      </c>
      <c r="CW194" s="15">
        <f t="shared" si="156"/>
        <v>0</v>
      </c>
      <c r="CX194" s="15">
        <f>CG194+CN194+CU194</f>
        <v>0</v>
      </c>
      <c r="CY194" s="15" t="e">
        <f>SUM(CE194,#REF!,CS194)</f>
        <v>#REF!</v>
      </c>
      <c r="CZ194" s="1" t="e">
        <f t="shared" si="173"/>
        <v>#REF!</v>
      </c>
      <c r="DA194" s="82"/>
    </row>
    <row r="195" spans="1:105">
      <c r="A195" s="69"/>
      <c r="B195" s="14"/>
      <c r="H195" s="15">
        <f t="shared" si="153"/>
        <v>0</v>
      </c>
      <c r="I195" s="18">
        <f t="shared" si="187"/>
        <v>0</v>
      </c>
      <c r="J195" s="15">
        <f t="shared" si="188"/>
        <v>0</v>
      </c>
      <c r="O195" s="15">
        <f t="shared" si="163"/>
        <v>0</v>
      </c>
      <c r="P195" s="18">
        <f t="shared" si="189"/>
        <v>0</v>
      </c>
      <c r="Q195" s="15">
        <f t="shared" si="190"/>
        <v>0</v>
      </c>
      <c r="V195" s="15">
        <f t="shared" si="157"/>
        <v>0</v>
      </c>
      <c r="W195" s="15">
        <f t="shared" si="158"/>
        <v>0</v>
      </c>
      <c r="X195" s="15">
        <f t="shared" si="186"/>
        <v>0</v>
      </c>
      <c r="Y195" s="15">
        <f>J195+Q195+X195</f>
        <v>0</v>
      </c>
      <c r="Z195" s="15">
        <f>SUM(H195,O195,V195)</f>
        <v>0</v>
      </c>
      <c r="AA195" s="78" t="e">
        <f t="shared" si="170"/>
        <v>#DIV/0!</v>
      </c>
      <c r="AB195" s="83"/>
      <c r="AG195" s="15">
        <f t="shared" si="164"/>
        <v>0</v>
      </c>
      <c r="AH195" s="15">
        <f t="shared" si="174"/>
        <v>0</v>
      </c>
      <c r="AI195" s="15">
        <f t="shared" si="175"/>
        <v>0</v>
      </c>
      <c r="AN195" s="72"/>
      <c r="AO195" s="15">
        <f t="shared" si="165"/>
        <v>0</v>
      </c>
      <c r="AP195" s="15">
        <f t="shared" si="176"/>
        <v>0</v>
      </c>
      <c r="AQ195" s="15">
        <f t="shared" si="177"/>
        <v>0</v>
      </c>
      <c r="AR195" s="72"/>
      <c r="AS195" s="72"/>
      <c r="AT195" s="72"/>
      <c r="AV195" s="15">
        <f>COUNTIF(AR195:AU195,"PR")</f>
        <v>0</v>
      </c>
      <c r="AW195" s="15">
        <f t="shared" si="159"/>
        <v>0</v>
      </c>
      <c r="AX195" s="15">
        <f t="shared" si="185"/>
        <v>0</v>
      </c>
      <c r="AY195" s="15">
        <f>AI195+AQ195+AX195</f>
        <v>0</v>
      </c>
      <c r="AZ195" s="15">
        <f>SUM(AG195,AO195,AV195)</f>
        <v>0</v>
      </c>
      <c r="BA195" s="78" t="e">
        <f t="shared" si="171"/>
        <v>#DIV/0!</v>
      </c>
      <c r="BD195" s="1"/>
      <c r="BF195" s="15">
        <f t="shared" si="166"/>
        <v>0</v>
      </c>
      <c r="BG195" s="15">
        <f t="shared" si="178"/>
        <v>0</v>
      </c>
      <c r="BH195" s="15">
        <f t="shared" si="179"/>
        <v>0</v>
      </c>
      <c r="BN195" s="15">
        <f t="shared" si="167"/>
        <v>0</v>
      </c>
      <c r="BO195" s="15">
        <f t="shared" si="160"/>
        <v>0</v>
      </c>
      <c r="BP195" s="15">
        <f t="shared" si="180"/>
        <v>0</v>
      </c>
      <c r="BU195" s="15">
        <f t="shared" si="168"/>
        <v>0</v>
      </c>
      <c r="BV195" s="15">
        <f t="shared" si="181"/>
        <v>0</v>
      </c>
      <c r="BW195" s="15">
        <f t="shared" si="182"/>
        <v>0</v>
      </c>
      <c r="BX195" s="15">
        <f t="shared" si="161"/>
        <v>0</v>
      </c>
      <c r="BY195" s="15">
        <f t="shared" si="162"/>
        <v>0</v>
      </c>
      <c r="BZ195" s="1" t="e">
        <f t="shared" si="172"/>
        <v>#DIV/0!</v>
      </c>
      <c r="CA195" s="83"/>
      <c r="CG195" s="15">
        <f>COUNTIF(CB195:CF195,"PR")</f>
        <v>0</v>
      </c>
      <c r="CH195" s="15">
        <f>COUNTIF(CB195:CF195,"AB")</f>
        <v>0</v>
      </c>
      <c r="CI195" s="15">
        <f t="shared" si="183"/>
        <v>0</v>
      </c>
      <c r="CN195" s="15">
        <f>COUNTIF(CJ195:CM195,"PR")</f>
        <v>0</v>
      </c>
      <c r="CO195" s="15">
        <f>COUNTIF(CJ195:CM195,"AB")</f>
        <v>0</v>
      </c>
      <c r="CP195" s="15">
        <f t="shared" si="184"/>
        <v>0</v>
      </c>
      <c r="CU195" s="15">
        <f t="shared" si="169"/>
        <v>0</v>
      </c>
      <c r="CV195" s="15">
        <f t="shared" si="155"/>
        <v>0</v>
      </c>
      <c r="CW195" s="15">
        <f t="shared" si="156"/>
        <v>0</v>
      </c>
      <c r="CX195" s="15">
        <f>CG195+CN195+CU195</f>
        <v>0</v>
      </c>
      <c r="CY195" s="15" t="e">
        <f>SUM(CE195,#REF!,CS195)</f>
        <v>#REF!</v>
      </c>
      <c r="CZ195" s="1" t="e">
        <f t="shared" si="173"/>
        <v>#REF!</v>
      </c>
      <c r="DA195" s="83"/>
    </row>
    <row r="196" spans="1:105">
      <c r="A196" s="86"/>
      <c r="B196" s="14"/>
      <c r="H196" s="15">
        <f t="shared" si="153"/>
        <v>0</v>
      </c>
      <c r="I196" s="18">
        <f t="shared" si="187"/>
        <v>0</v>
      </c>
      <c r="J196" s="15">
        <f t="shared" si="188"/>
        <v>0</v>
      </c>
      <c r="O196" s="15">
        <f t="shared" si="163"/>
        <v>0</v>
      </c>
      <c r="P196" s="18">
        <f t="shared" si="189"/>
        <v>0</v>
      </c>
      <c r="Q196" s="15">
        <f t="shared" si="190"/>
        <v>0</v>
      </c>
      <c r="V196" s="15">
        <f t="shared" si="157"/>
        <v>0</v>
      </c>
      <c r="W196" s="15">
        <f t="shared" si="158"/>
        <v>0</v>
      </c>
      <c r="X196" s="15">
        <f t="shared" si="186"/>
        <v>0</v>
      </c>
      <c r="Y196" s="15">
        <f>J196+Q196+X196</f>
        <v>0</v>
      </c>
      <c r="Z196" s="15">
        <f>SUM(H196,O196,V196)</f>
        <v>0</v>
      </c>
      <c r="AA196" s="78" t="e">
        <f t="shared" si="170"/>
        <v>#DIV/0!</v>
      </c>
      <c r="AB196" s="78"/>
      <c r="AG196" s="15">
        <f t="shared" si="164"/>
        <v>0</v>
      </c>
      <c r="AH196" s="15">
        <f t="shared" si="174"/>
        <v>0</v>
      </c>
      <c r="AI196" s="15">
        <f t="shared" si="175"/>
        <v>0</v>
      </c>
      <c r="AO196" s="15">
        <f t="shared" si="165"/>
        <v>0</v>
      </c>
      <c r="AP196" s="15">
        <f t="shared" si="176"/>
        <v>0</v>
      </c>
      <c r="AQ196" s="15">
        <f t="shared" si="177"/>
        <v>0</v>
      </c>
      <c r="AV196" s="15">
        <f>COUNTIF(AR196:AU196,"PR")</f>
        <v>0</v>
      </c>
      <c r="AW196" s="15">
        <f t="shared" si="159"/>
        <v>0</v>
      </c>
      <c r="AX196" s="15">
        <f t="shared" si="185"/>
        <v>0</v>
      </c>
      <c r="AY196" s="15">
        <f>AI196+AQ196+AX196</f>
        <v>0</v>
      </c>
      <c r="AZ196" s="15">
        <f>SUM(AG196,AO196,AV196)</f>
        <v>0</v>
      </c>
      <c r="BA196" s="78" t="e">
        <f t="shared" si="171"/>
        <v>#DIV/0!</v>
      </c>
      <c r="BD196" s="1"/>
      <c r="BF196" s="15">
        <f t="shared" si="166"/>
        <v>0</v>
      </c>
      <c r="BG196" s="15">
        <f t="shared" si="178"/>
        <v>0</v>
      </c>
      <c r="BH196" s="15">
        <f t="shared" si="179"/>
        <v>0</v>
      </c>
      <c r="BN196" s="15">
        <f t="shared" si="167"/>
        <v>0</v>
      </c>
      <c r="BO196" s="15">
        <f t="shared" si="160"/>
        <v>0</v>
      </c>
      <c r="BP196" s="15">
        <f t="shared" si="180"/>
        <v>0</v>
      </c>
      <c r="BU196" s="15">
        <f t="shared" si="168"/>
        <v>0</v>
      </c>
      <c r="BV196" s="15">
        <f t="shared" si="181"/>
        <v>0</v>
      </c>
      <c r="BW196" s="15">
        <f t="shared" si="182"/>
        <v>0</v>
      </c>
      <c r="BX196" s="15">
        <f t="shared" si="161"/>
        <v>0</v>
      </c>
      <c r="BY196" s="15">
        <f t="shared" si="162"/>
        <v>0</v>
      </c>
      <c r="BZ196" s="1" t="e">
        <f t="shared" si="172"/>
        <v>#DIV/0!</v>
      </c>
      <c r="CA196" s="78"/>
      <c r="CG196" s="15">
        <f>COUNTIF(CB196:CF196,"PR")</f>
        <v>0</v>
      </c>
      <c r="CH196" s="15">
        <f>COUNTIF(CB196:CF196,"AB")</f>
        <v>0</v>
      </c>
      <c r="CI196" s="15">
        <f t="shared" si="183"/>
        <v>0</v>
      </c>
      <c r="CN196" s="15">
        <f>COUNTIF(CJ196:CM196,"PR")</f>
        <v>0</v>
      </c>
      <c r="CO196" s="15">
        <f>COUNTIF(CJ196:CM196,"AB")</f>
        <v>0</v>
      </c>
      <c r="CP196" s="15">
        <f t="shared" si="184"/>
        <v>0</v>
      </c>
      <c r="CU196" s="15">
        <f t="shared" si="169"/>
        <v>0</v>
      </c>
      <c r="CV196" s="15">
        <f t="shared" si="155"/>
        <v>0</v>
      </c>
      <c r="CW196" s="15">
        <f t="shared" si="156"/>
        <v>0</v>
      </c>
      <c r="CX196" s="15">
        <f>CG196+CN196+CU196</f>
        <v>0</v>
      </c>
      <c r="CY196" s="15" t="e">
        <f>SUM(CE196,#REF!,CS196)</f>
        <v>#REF!</v>
      </c>
      <c r="CZ196" s="1" t="e">
        <f t="shared" si="173"/>
        <v>#REF!</v>
      </c>
      <c r="DA196" s="78"/>
    </row>
    <row r="197" spans="1:105">
      <c r="A197" s="86"/>
      <c r="B197" s="14"/>
      <c r="H197" s="15">
        <f t="shared" si="153"/>
        <v>0</v>
      </c>
      <c r="I197" s="18">
        <f t="shared" si="187"/>
        <v>0</v>
      </c>
      <c r="J197" s="15">
        <f t="shared" si="188"/>
        <v>0</v>
      </c>
      <c r="O197" s="15">
        <f t="shared" si="163"/>
        <v>0</v>
      </c>
      <c r="P197" s="18">
        <f t="shared" si="189"/>
        <v>0</v>
      </c>
      <c r="Q197" s="15">
        <f t="shared" si="190"/>
        <v>0</v>
      </c>
      <c r="V197" s="15">
        <f t="shared" si="157"/>
        <v>0</v>
      </c>
      <c r="W197" s="15">
        <f t="shared" si="158"/>
        <v>0</v>
      </c>
      <c r="X197" s="15">
        <f t="shared" si="186"/>
        <v>0</v>
      </c>
      <c r="Y197" s="15">
        <f>J197+Q197+X197</f>
        <v>0</v>
      </c>
      <c r="Z197" s="15">
        <f>SUM(H197,O197,V197)</f>
        <v>0</v>
      </c>
      <c r="AA197" s="78" t="e">
        <f t="shared" si="170"/>
        <v>#DIV/0!</v>
      </c>
      <c r="AB197" s="78"/>
      <c r="AG197" s="15">
        <f t="shared" si="164"/>
        <v>0</v>
      </c>
      <c r="AH197" s="15">
        <f t="shared" si="174"/>
        <v>0</v>
      </c>
      <c r="AI197" s="15">
        <f t="shared" si="175"/>
        <v>0</v>
      </c>
      <c r="AO197" s="15">
        <f t="shared" si="165"/>
        <v>0</v>
      </c>
      <c r="AP197" s="15">
        <f t="shared" si="176"/>
        <v>0</v>
      </c>
      <c r="AQ197" s="15">
        <f t="shared" si="177"/>
        <v>0</v>
      </c>
      <c r="AV197" s="15">
        <f>COUNTIF(AR197:AU197,"PR")</f>
        <v>0</v>
      </c>
      <c r="AW197" s="15">
        <f t="shared" si="159"/>
        <v>0</v>
      </c>
      <c r="AX197" s="15">
        <f t="shared" si="185"/>
        <v>0</v>
      </c>
      <c r="AY197" s="15">
        <f>AI197+AQ197+AX197</f>
        <v>0</v>
      </c>
      <c r="AZ197" s="15">
        <f>SUM(AG197,AO197,AV197)</f>
        <v>0</v>
      </c>
      <c r="BA197" s="78" t="e">
        <f t="shared" si="171"/>
        <v>#DIV/0!</v>
      </c>
      <c r="BD197" s="1"/>
      <c r="BF197" s="15">
        <f t="shared" si="166"/>
        <v>0</v>
      </c>
      <c r="BG197" s="15">
        <f t="shared" si="178"/>
        <v>0</v>
      </c>
      <c r="BH197" s="15">
        <f t="shared" si="179"/>
        <v>0</v>
      </c>
      <c r="BN197" s="15">
        <f t="shared" si="167"/>
        <v>0</v>
      </c>
      <c r="BO197" s="15">
        <f t="shared" si="160"/>
        <v>0</v>
      </c>
      <c r="BP197" s="15">
        <f t="shared" si="180"/>
        <v>0</v>
      </c>
      <c r="BU197" s="15">
        <f t="shared" si="168"/>
        <v>0</v>
      </c>
      <c r="BV197" s="15">
        <f t="shared" si="181"/>
        <v>0</v>
      </c>
      <c r="BW197" s="15">
        <f t="shared" si="182"/>
        <v>0</v>
      </c>
      <c r="BX197" s="15">
        <f t="shared" si="161"/>
        <v>0</v>
      </c>
      <c r="BY197" s="15">
        <f t="shared" si="162"/>
        <v>0</v>
      </c>
      <c r="BZ197" s="1" t="e">
        <f t="shared" si="172"/>
        <v>#DIV/0!</v>
      </c>
      <c r="CA197" s="78"/>
      <c r="CG197" s="15">
        <f>COUNTIF(CB197:CF197,"PR")</f>
        <v>0</v>
      </c>
      <c r="CH197" s="15">
        <f>COUNTIF(CB197:CF197,"AB")</f>
        <v>0</v>
      </c>
      <c r="CI197" s="15">
        <f t="shared" si="183"/>
        <v>0</v>
      </c>
      <c r="CN197" s="15">
        <f>COUNTIF(CJ197:CM197,"PR")</f>
        <v>0</v>
      </c>
      <c r="CO197" s="15">
        <f>COUNTIF(CJ197:CM197,"AB")</f>
        <v>0</v>
      </c>
      <c r="CP197" s="15">
        <f t="shared" si="184"/>
        <v>0</v>
      </c>
      <c r="CU197" s="15">
        <f t="shared" si="169"/>
        <v>0</v>
      </c>
      <c r="CV197" s="15">
        <f t="shared" si="155"/>
        <v>0</v>
      </c>
      <c r="CW197" s="15">
        <f t="shared" si="156"/>
        <v>0</v>
      </c>
      <c r="CX197" s="15">
        <f>CG197+CN197+CU197</f>
        <v>0</v>
      </c>
      <c r="CY197" s="15" t="e">
        <f>SUM(CE197,#REF!,CS197)</f>
        <v>#REF!</v>
      </c>
      <c r="CZ197" s="1" t="e">
        <f t="shared" si="173"/>
        <v>#REF!</v>
      </c>
      <c r="DA197" s="78"/>
    </row>
    <row r="198" spans="1:105">
      <c r="A198" s="87"/>
      <c r="B198" s="14"/>
      <c r="H198" s="15">
        <f t="shared" si="153"/>
        <v>0</v>
      </c>
      <c r="I198" s="18">
        <f t="shared" si="187"/>
        <v>0</v>
      </c>
      <c r="J198" s="15">
        <f t="shared" si="188"/>
        <v>0</v>
      </c>
      <c r="O198" s="15">
        <f t="shared" si="163"/>
        <v>0</v>
      </c>
      <c r="P198" s="18">
        <f t="shared" si="189"/>
        <v>0</v>
      </c>
      <c r="Q198" s="15">
        <f t="shared" si="190"/>
        <v>0</v>
      </c>
      <c r="V198" s="15">
        <f t="shared" si="157"/>
        <v>0</v>
      </c>
      <c r="W198" s="15">
        <f t="shared" si="158"/>
        <v>0</v>
      </c>
      <c r="X198" s="15">
        <f t="shared" si="186"/>
        <v>0</v>
      </c>
      <c r="Y198" s="15">
        <f>J198+Q198+X198</f>
        <v>0</v>
      </c>
      <c r="Z198" s="15">
        <f>SUM(H198,O198,V198)</f>
        <v>0</v>
      </c>
      <c r="AA198" s="78" t="e">
        <f t="shared" si="170"/>
        <v>#DIV/0!</v>
      </c>
      <c r="AB198" s="78"/>
      <c r="AG198" s="15">
        <f t="shared" si="164"/>
        <v>0</v>
      </c>
      <c r="AH198" s="15">
        <f t="shared" si="174"/>
        <v>0</v>
      </c>
      <c r="AI198" s="15">
        <f t="shared" si="175"/>
        <v>0</v>
      </c>
      <c r="AO198" s="15">
        <f t="shared" si="165"/>
        <v>0</v>
      </c>
      <c r="AP198" s="15">
        <f t="shared" si="176"/>
        <v>0</v>
      </c>
      <c r="AQ198" s="15">
        <f t="shared" si="177"/>
        <v>0</v>
      </c>
      <c r="AV198" s="15">
        <f>COUNTIF(AR198:AU198,"PR")</f>
        <v>0</v>
      </c>
      <c r="AW198" s="15">
        <f t="shared" si="159"/>
        <v>0</v>
      </c>
      <c r="AX198" s="15">
        <f t="shared" si="185"/>
        <v>0</v>
      </c>
      <c r="AY198" s="15">
        <f>AI198+AQ198+AX198</f>
        <v>0</v>
      </c>
      <c r="AZ198" s="15">
        <f>SUM(AG198,AO198,AV198)</f>
        <v>0</v>
      </c>
      <c r="BA198" s="78" t="e">
        <f t="shared" si="171"/>
        <v>#DIV/0!</v>
      </c>
      <c r="BD198" s="1"/>
      <c r="BF198" s="15">
        <f t="shared" si="166"/>
        <v>0</v>
      </c>
      <c r="BG198" s="15">
        <f t="shared" si="178"/>
        <v>0</v>
      </c>
      <c r="BH198" s="15">
        <f t="shared" si="179"/>
        <v>0</v>
      </c>
      <c r="BN198" s="15">
        <f t="shared" si="167"/>
        <v>0</v>
      </c>
      <c r="BO198" s="15">
        <f t="shared" si="160"/>
        <v>0</v>
      </c>
      <c r="BP198" s="15">
        <f t="shared" si="180"/>
        <v>0</v>
      </c>
      <c r="BU198" s="15">
        <f t="shared" si="168"/>
        <v>0</v>
      </c>
      <c r="BV198" s="15">
        <f t="shared" si="181"/>
        <v>0</v>
      </c>
      <c r="BW198" s="15">
        <f t="shared" si="182"/>
        <v>0</v>
      </c>
      <c r="BX198" s="15">
        <f t="shared" si="161"/>
        <v>0</v>
      </c>
      <c r="BY198" s="15">
        <f t="shared" si="162"/>
        <v>0</v>
      </c>
      <c r="BZ198" s="1" t="e">
        <f t="shared" si="172"/>
        <v>#DIV/0!</v>
      </c>
      <c r="CA198" s="78"/>
      <c r="CG198" s="15">
        <f>COUNTIF(CB198:CF198,"PR")</f>
        <v>0</v>
      </c>
      <c r="CH198" s="15">
        <f>COUNTIF(CB198:CF198,"AB")</f>
        <v>0</v>
      </c>
      <c r="CI198" s="15">
        <f t="shared" si="183"/>
        <v>0</v>
      </c>
      <c r="CN198" s="15">
        <f>COUNTIF(CJ198:CM198,"PR")</f>
        <v>0</v>
      </c>
      <c r="CO198" s="15">
        <f>COUNTIF(CJ198:CM198,"AB")</f>
        <v>0</v>
      </c>
      <c r="CP198" s="15">
        <f t="shared" si="184"/>
        <v>0</v>
      </c>
      <c r="CU198" s="15">
        <f t="shared" si="169"/>
        <v>0</v>
      </c>
      <c r="CV198" s="15">
        <f t="shared" si="155"/>
        <v>0</v>
      </c>
      <c r="CW198" s="15">
        <f t="shared" si="156"/>
        <v>0</v>
      </c>
      <c r="CX198" s="15">
        <f>CG198+CN198+CU198</f>
        <v>0</v>
      </c>
      <c r="CY198" s="15" t="e">
        <f>SUM(CE198,#REF!,CS198)</f>
        <v>#REF!</v>
      </c>
      <c r="CZ198" s="1" t="e">
        <f t="shared" si="173"/>
        <v>#REF!</v>
      </c>
      <c r="DA198" s="78"/>
    </row>
    <row r="199" spans="1:105">
      <c r="A199" s="87"/>
      <c r="B199" s="14"/>
      <c r="H199" s="15">
        <f t="shared" si="153"/>
        <v>0</v>
      </c>
      <c r="I199" s="18">
        <f t="shared" si="187"/>
        <v>0</v>
      </c>
      <c r="J199" s="15">
        <f t="shared" si="188"/>
        <v>0</v>
      </c>
      <c r="O199" s="15">
        <f t="shared" si="163"/>
        <v>0</v>
      </c>
      <c r="P199" s="18">
        <f t="shared" si="189"/>
        <v>0</v>
      </c>
      <c r="Q199" s="15">
        <f t="shared" si="190"/>
        <v>0</v>
      </c>
      <c r="V199" s="15">
        <f t="shared" si="157"/>
        <v>0</v>
      </c>
      <c r="W199" s="15">
        <f t="shared" si="158"/>
        <v>0</v>
      </c>
      <c r="X199" s="15">
        <f t="shared" si="186"/>
        <v>0</v>
      </c>
      <c r="Y199" s="15">
        <f>J199+Q199+X199</f>
        <v>0</v>
      </c>
      <c r="Z199" s="15">
        <f>SUM(H199,O199,V199)</f>
        <v>0</v>
      </c>
      <c r="AA199" s="78" t="e">
        <f t="shared" si="170"/>
        <v>#DIV/0!</v>
      </c>
      <c r="AB199" s="78"/>
      <c r="AG199" s="15">
        <f t="shared" si="164"/>
        <v>0</v>
      </c>
      <c r="AH199" s="15">
        <f t="shared" si="174"/>
        <v>0</v>
      </c>
      <c r="AI199" s="15">
        <f t="shared" si="175"/>
        <v>0</v>
      </c>
      <c r="AO199" s="15">
        <f t="shared" si="165"/>
        <v>0</v>
      </c>
      <c r="AP199" s="15">
        <f t="shared" si="176"/>
        <v>0</v>
      </c>
      <c r="AQ199" s="15">
        <f t="shared" si="177"/>
        <v>0</v>
      </c>
      <c r="AV199" s="15">
        <f>COUNTIF(AR199:AU199,"PR")</f>
        <v>0</v>
      </c>
      <c r="AW199" s="15">
        <f t="shared" si="159"/>
        <v>0</v>
      </c>
      <c r="AX199" s="15">
        <f t="shared" si="185"/>
        <v>0</v>
      </c>
      <c r="AY199" s="15">
        <f>AI199+AQ199+AX199</f>
        <v>0</v>
      </c>
      <c r="AZ199" s="15">
        <f>SUM(AG199,AO199,AV199)</f>
        <v>0</v>
      </c>
      <c r="BA199" s="78" t="e">
        <f t="shared" si="171"/>
        <v>#DIV/0!</v>
      </c>
      <c r="BD199" s="1"/>
      <c r="BF199" s="15">
        <f t="shared" si="166"/>
        <v>0</v>
      </c>
      <c r="BG199" s="15">
        <f t="shared" si="178"/>
        <v>0</v>
      </c>
      <c r="BH199" s="15">
        <f t="shared" si="179"/>
        <v>0</v>
      </c>
      <c r="BN199" s="15">
        <f t="shared" si="167"/>
        <v>0</v>
      </c>
      <c r="BO199" s="15">
        <f t="shared" si="160"/>
        <v>0</v>
      </c>
      <c r="BP199" s="15">
        <f t="shared" si="180"/>
        <v>0</v>
      </c>
      <c r="BU199" s="15">
        <f t="shared" si="168"/>
        <v>0</v>
      </c>
      <c r="BV199" s="15">
        <f t="shared" si="181"/>
        <v>0</v>
      </c>
      <c r="BW199" s="15">
        <f t="shared" si="182"/>
        <v>0</v>
      </c>
      <c r="BX199" s="15">
        <f t="shared" si="161"/>
        <v>0</v>
      </c>
      <c r="BY199" s="15">
        <f t="shared" si="162"/>
        <v>0</v>
      </c>
      <c r="BZ199" s="1" t="e">
        <f t="shared" si="172"/>
        <v>#DIV/0!</v>
      </c>
      <c r="CA199" s="78"/>
      <c r="CG199" s="15">
        <f>COUNTIF(CB199:CF199,"PR")</f>
        <v>0</v>
      </c>
      <c r="CH199" s="15">
        <f>COUNTIF(CB199:CF199,"AB")</f>
        <v>0</v>
      </c>
      <c r="CI199" s="15">
        <f t="shared" si="183"/>
        <v>0</v>
      </c>
      <c r="CN199" s="15">
        <f>COUNTIF(CJ199:CM199,"PR")</f>
        <v>0</v>
      </c>
      <c r="CO199" s="15">
        <f>COUNTIF(CJ199:CM199,"AB")</f>
        <v>0</v>
      </c>
      <c r="CP199" s="15">
        <f t="shared" si="184"/>
        <v>0</v>
      </c>
      <c r="CU199" s="15">
        <f t="shared" si="169"/>
        <v>0</v>
      </c>
      <c r="CV199" s="15">
        <f t="shared" si="155"/>
        <v>0</v>
      </c>
      <c r="CW199" s="15">
        <f t="shared" si="156"/>
        <v>0</v>
      </c>
      <c r="CX199" s="15">
        <f>CG199+CN199+CU199</f>
        <v>0</v>
      </c>
      <c r="CY199" s="15" t="e">
        <f>SUM(CE199,#REF!,CS199)</f>
        <v>#REF!</v>
      </c>
      <c r="CZ199" s="1" t="e">
        <f t="shared" si="173"/>
        <v>#REF!</v>
      </c>
      <c r="DA199" s="78"/>
    </row>
    <row r="200" spans="1:105">
      <c r="A200" s="91"/>
      <c r="B200" s="14"/>
      <c r="H200" s="15">
        <f t="shared" si="153"/>
        <v>0</v>
      </c>
      <c r="I200" s="18">
        <f t="shared" si="187"/>
        <v>0</v>
      </c>
      <c r="J200" s="15">
        <f t="shared" si="188"/>
        <v>0</v>
      </c>
      <c r="O200" s="15">
        <f t="shared" si="163"/>
        <v>0</v>
      </c>
      <c r="P200" s="18">
        <f t="shared" si="189"/>
        <v>0</v>
      </c>
      <c r="Q200" s="15">
        <f t="shared" si="190"/>
        <v>0</v>
      </c>
      <c r="V200" s="15">
        <f t="shared" si="157"/>
        <v>0</v>
      </c>
      <c r="W200" s="15">
        <f t="shared" si="158"/>
        <v>0</v>
      </c>
      <c r="X200" s="15">
        <f t="shared" si="186"/>
        <v>0</v>
      </c>
      <c r="Y200" s="15">
        <f>J200+Q200+X200</f>
        <v>0</v>
      </c>
      <c r="Z200" s="15">
        <f>SUM(H200,O200,V200)</f>
        <v>0</v>
      </c>
      <c r="AA200" s="78" t="e">
        <f t="shared" si="170"/>
        <v>#DIV/0!</v>
      </c>
      <c r="AB200" s="78"/>
      <c r="AG200" s="15">
        <f t="shared" si="164"/>
        <v>0</v>
      </c>
      <c r="AH200" s="15">
        <f t="shared" si="174"/>
        <v>0</v>
      </c>
      <c r="AI200" s="15">
        <f t="shared" si="175"/>
        <v>0</v>
      </c>
      <c r="AO200" s="15">
        <f t="shared" si="165"/>
        <v>0</v>
      </c>
      <c r="AP200" s="15">
        <f t="shared" si="176"/>
        <v>0</v>
      </c>
      <c r="AQ200" s="15">
        <f t="shared" si="177"/>
        <v>0</v>
      </c>
      <c r="AV200" s="15">
        <f>COUNTIF(AR200:AU200,"PR")</f>
        <v>0</v>
      </c>
      <c r="AW200" s="15">
        <f t="shared" si="159"/>
        <v>0</v>
      </c>
      <c r="AX200" s="15">
        <f t="shared" si="185"/>
        <v>0</v>
      </c>
      <c r="AY200" s="15">
        <f>AI200+AQ200+AX200</f>
        <v>0</v>
      </c>
      <c r="AZ200" s="15">
        <f>SUM(AG200,AO200,AV200)</f>
        <v>0</v>
      </c>
      <c r="BA200" s="78" t="e">
        <f t="shared" si="171"/>
        <v>#DIV/0!</v>
      </c>
      <c r="BD200" s="1"/>
      <c r="BF200" s="15">
        <f t="shared" si="166"/>
        <v>0</v>
      </c>
      <c r="BG200" s="15">
        <f t="shared" si="178"/>
        <v>0</v>
      </c>
      <c r="BH200" s="15">
        <f t="shared" si="179"/>
        <v>0</v>
      </c>
      <c r="BN200" s="15">
        <f t="shared" si="167"/>
        <v>0</v>
      </c>
      <c r="BO200" s="15">
        <f t="shared" si="160"/>
        <v>0</v>
      </c>
      <c r="BP200" s="15">
        <f t="shared" si="180"/>
        <v>0</v>
      </c>
      <c r="BU200" s="15">
        <f t="shared" si="168"/>
        <v>0</v>
      </c>
      <c r="BV200" s="15">
        <f t="shared" si="181"/>
        <v>0</v>
      </c>
      <c r="BW200" s="15">
        <f t="shared" si="182"/>
        <v>0</v>
      </c>
      <c r="BX200" s="15">
        <f t="shared" si="161"/>
        <v>0</v>
      </c>
      <c r="BY200" s="15">
        <f t="shared" si="162"/>
        <v>0</v>
      </c>
      <c r="BZ200" s="1" t="e">
        <f t="shared" si="172"/>
        <v>#DIV/0!</v>
      </c>
      <c r="CA200" s="78"/>
      <c r="CG200" s="15">
        <f>COUNTIF(CB200:CF200,"PR")</f>
        <v>0</v>
      </c>
      <c r="CH200" s="15">
        <f>COUNTIF(CB200:CF200,"AB")</f>
        <v>0</v>
      </c>
      <c r="CI200" s="15">
        <f t="shared" si="183"/>
        <v>0</v>
      </c>
      <c r="CN200" s="15">
        <f>COUNTIF(CJ200:CM200,"PR")</f>
        <v>0</v>
      </c>
      <c r="CO200" s="15">
        <f>COUNTIF(CJ200:CM200,"AB")</f>
        <v>0</v>
      </c>
      <c r="CP200" s="15">
        <f t="shared" si="184"/>
        <v>0</v>
      </c>
      <c r="CU200" s="15">
        <f t="shared" si="169"/>
        <v>0</v>
      </c>
      <c r="CV200" s="15">
        <f t="shared" si="155"/>
        <v>0</v>
      </c>
      <c r="CW200" s="15">
        <f t="shared" si="156"/>
        <v>0</v>
      </c>
      <c r="CX200" s="15">
        <f>CG200+CN200+CU200</f>
        <v>0</v>
      </c>
      <c r="CY200" s="15" t="e">
        <f>SUM(CE200,#REF!,CS200)</f>
        <v>#REF!</v>
      </c>
      <c r="CZ200" s="1" t="e">
        <f t="shared" si="173"/>
        <v>#REF!</v>
      </c>
      <c r="DA200" s="78"/>
    </row>
    <row r="201" spans="1:105">
      <c r="A201" s="91"/>
      <c r="B201" s="14"/>
      <c r="H201" s="15">
        <f t="shared" si="153"/>
        <v>0</v>
      </c>
      <c r="I201" s="18">
        <f t="shared" si="187"/>
        <v>0</v>
      </c>
      <c r="J201" s="15">
        <f t="shared" si="188"/>
        <v>0</v>
      </c>
      <c r="O201" s="15">
        <f t="shared" si="163"/>
        <v>0</v>
      </c>
      <c r="P201" s="18">
        <f t="shared" si="189"/>
        <v>0</v>
      </c>
      <c r="Q201" s="15">
        <f t="shared" si="190"/>
        <v>0</v>
      </c>
      <c r="V201" s="15">
        <f t="shared" si="157"/>
        <v>0</v>
      </c>
      <c r="W201" s="15">
        <f t="shared" si="158"/>
        <v>0</v>
      </c>
      <c r="X201" s="15">
        <f t="shared" si="186"/>
        <v>0</v>
      </c>
      <c r="Y201" s="15">
        <f>J201+Q201+X201</f>
        <v>0</v>
      </c>
      <c r="Z201" s="15">
        <f>SUM(H201,O201,V201)</f>
        <v>0</v>
      </c>
      <c r="AA201" s="78" t="e">
        <f t="shared" si="170"/>
        <v>#DIV/0!</v>
      </c>
      <c r="AB201" s="78"/>
      <c r="AC201" s="76"/>
      <c r="AD201" s="72"/>
      <c r="AE201" s="72"/>
      <c r="AF201" s="72"/>
      <c r="AG201" s="15">
        <f t="shared" si="164"/>
        <v>0</v>
      </c>
      <c r="AH201" s="15">
        <f t="shared" si="174"/>
        <v>0</v>
      </c>
      <c r="AI201" s="15">
        <f t="shared" si="175"/>
        <v>0</v>
      </c>
      <c r="AJ201" s="76"/>
      <c r="AK201" s="72"/>
      <c r="AL201" s="72"/>
      <c r="AM201" s="72"/>
      <c r="AO201" s="15">
        <f t="shared" si="165"/>
        <v>0</v>
      </c>
      <c r="AP201" s="15">
        <f t="shared" si="176"/>
        <v>0</v>
      </c>
      <c r="AQ201" s="15">
        <f t="shared" si="177"/>
        <v>0</v>
      </c>
      <c r="AV201" s="15">
        <f>COUNTIF(AR201:AU201,"PR")</f>
        <v>0</v>
      </c>
      <c r="AW201" s="15">
        <f t="shared" si="159"/>
        <v>0</v>
      </c>
      <c r="AX201" s="15">
        <f t="shared" si="185"/>
        <v>0</v>
      </c>
      <c r="AY201" s="15">
        <f>AI201+AQ201+AX201</f>
        <v>0</v>
      </c>
      <c r="AZ201" s="15">
        <f>SUM(AG201,AO201,AV201)</f>
        <v>0</v>
      </c>
      <c r="BA201" s="78" t="e">
        <f t="shared" si="171"/>
        <v>#DIV/0!</v>
      </c>
      <c r="BD201" s="1"/>
      <c r="BF201" s="15">
        <f t="shared" si="166"/>
        <v>0</v>
      </c>
      <c r="BG201" s="15">
        <f t="shared" si="178"/>
        <v>0</v>
      </c>
      <c r="BH201" s="15">
        <f t="shared" si="179"/>
        <v>0</v>
      </c>
      <c r="BN201" s="15">
        <f t="shared" si="167"/>
        <v>0</v>
      </c>
      <c r="BO201" s="15">
        <f t="shared" si="160"/>
        <v>0</v>
      </c>
      <c r="BP201" s="15">
        <f t="shared" si="180"/>
        <v>0</v>
      </c>
      <c r="BU201" s="15">
        <f t="shared" si="168"/>
        <v>0</v>
      </c>
      <c r="BV201" s="15">
        <f t="shared" si="181"/>
        <v>0</v>
      </c>
      <c r="BW201" s="15">
        <f t="shared" si="182"/>
        <v>0</v>
      </c>
      <c r="BX201" s="15">
        <f t="shared" si="161"/>
        <v>0</v>
      </c>
      <c r="BY201" s="15">
        <f t="shared" si="162"/>
        <v>0</v>
      </c>
      <c r="BZ201" s="1" t="e">
        <f t="shared" si="172"/>
        <v>#DIV/0!</v>
      </c>
      <c r="CA201" s="78"/>
      <c r="CG201" s="15">
        <f>COUNTIF(CB201:CF201,"PR")</f>
        <v>0</v>
      </c>
      <c r="CH201" s="15">
        <f>COUNTIF(CB201:CF201,"AB")</f>
        <v>0</v>
      </c>
      <c r="CI201" s="15">
        <f t="shared" si="183"/>
        <v>0</v>
      </c>
      <c r="CN201" s="15">
        <f>COUNTIF(CJ201:CM201,"PR")</f>
        <v>0</v>
      </c>
      <c r="CO201" s="15">
        <f>COUNTIF(CJ201:CM201,"AB")</f>
        <v>0</v>
      </c>
      <c r="CP201" s="15">
        <f t="shared" si="184"/>
        <v>0</v>
      </c>
      <c r="CU201" s="15">
        <f t="shared" si="169"/>
        <v>0</v>
      </c>
      <c r="CV201" s="15">
        <f t="shared" si="155"/>
        <v>0</v>
      </c>
      <c r="CW201" s="15">
        <f t="shared" si="156"/>
        <v>0</v>
      </c>
      <c r="CX201" s="15">
        <f>CG201+CN201+CU201</f>
        <v>0</v>
      </c>
      <c r="CY201" s="15" t="e">
        <f>SUM(CE201,#REF!,CS201)</f>
        <v>#REF!</v>
      </c>
      <c r="CZ201" s="1" t="e">
        <f t="shared" si="173"/>
        <v>#REF!</v>
      </c>
      <c r="DA201" s="78"/>
    </row>
    <row r="202" spans="1:105">
      <c r="A202" s="91"/>
      <c r="B202" s="14"/>
      <c r="H202" s="15">
        <f t="shared" si="153"/>
        <v>0</v>
      </c>
      <c r="I202" s="18">
        <f t="shared" si="187"/>
        <v>0</v>
      </c>
      <c r="J202" s="15">
        <f t="shared" si="188"/>
        <v>0</v>
      </c>
      <c r="O202" s="15">
        <f t="shared" si="163"/>
        <v>0</v>
      </c>
      <c r="P202" s="18">
        <f t="shared" si="189"/>
        <v>0</v>
      </c>
      <c r="Q202" s="15">
        <f t="shared" si="190"/>
        <v>0</v>
      </c>
      <c r="V202" s="15">
        <f t="shared" si="157"/>
        <v>0</v>
      </c>
      <c r="W202" s="15">
        <f t="shared" si="158"/>
        <v>0</v>
      </c>
      <c r="X202" s="15">
        <f t="shared" si="186"/>
        <v>0</v>
      </c>
      <c r="Y202" s="15">
        <f>J202+Q202+X202</f>
        <v>0</v>
      </c>
      <c r="Z202" s="15">
        <f>SUM(H202,O202,V202)</f>
        <v>0</v>
      </c>
      <c r="AA202" s="78" t="e">
        <f t="shared" si="170"/>
        <v>#DIV/0!</v>
      </c>
      <c r="AB202" s="78"/>
      <c r="AG202" s="15">
        <f t="shared" si="164"/>
        <v>0</v>
      </c>
      <c r="AH202" s="15">
        <f t="shared" si="174"/>
        <v>0</v>
      </c>
      <c r="AI202" s="15">
        <f t="shared" si="175"/>
        <v>0</v>
      </c>
      <c r="AO202" s="15">
        <f t="shared" si="165"/>
        <v>0</v>
      </c>
      <c r="AP202" s="15">
        <f t="shared" si="176"/>
        <v>0</v>
      </c>
      <c r="AQ202" s="15">
        <f t="shared" si="177"/>
        <v>0</v>
      </c>
      <c r="AV202" s="15">
        <f>COUNTIF(AR202:AU202,"PR")</f>
        <v>0</v>
      </c>
      <c r="AW202" s="15">
        <f t="shared" si="159"/>
        <v>0</v>
      </c>
      <c r="AX202" s="15">
        <f t="shared" si="185"/>
        <v>0</v>
      </c>
      <c r="AY202" s="15">
        <f>AI202+AQ202+AX202</f>
        <v>0</v>
      </c>
      <c r="AZ202" s="15">
        <f>SUM(AG202,AO202,AV202)</f>
        <v>0</v>
      </c>
      <c r="BA202" s="78" t="e">
        <f t="shared" si="171"/>
        <v>#DIV/0!</v>
      </c>
      <c r="BD202" s="1"/>
      <c r="BF202" s="15">
        <f t="shared" si="166"/>
        <v>0</v>
      </c>
      <c r="BG202" s="15">
        <f t="shared" si="178"/>
        <v>0</v>
      </c>
      <c r="BH202" s="15">
        <f t="shared" si="179"/>
        <v>0</v>
      </c>
      <c r="BN202" s="15">
        <f t="shared" si="167"/>
        <v>0</v>
      </c>
      <c r="BO202" s="15">
        <f t="shared" si="160"/>
        <v>0</v>
      </c>
      <c r="BP202" s="15">
        <f t="shared" si="180"/>
        <v>0</v>
      </c>
      <c r="BU202" s="15">
        <f t="shared" si="168"/>
        <v>0</v>
      </c>
      <c r="BV202" s="15">
        <f t="shared" si="181"/>
        <v>0</v>
      </c>
      <c r="BW202" s="15">
        <f t="shared" si="182"/>
        <v>0</v>
      </c>
      <c r="BX202" s="15">
        <f t="shared" si="161"/>
        <v>0</v>
      </c>
      <c r="BY202" s="15">
        <f t="shared" si="162"/>
        <v>0</v>
      </c>
      <c r="BZ202" s="1" t="e">
        <f t="shared" si="172"/>
        <v>#DIV/0!</v>
      </c>
      <c r="CA202" s="78"/>
      <c r="CG202" s="15">
        <f>COUNTIF(CB202:CF202,"PR")</f>
        <v>0</v>
      </c>
      <c r="CH202" s="15">
        <f>COUNTIF(CB202:CF202,"AB")</f>
        <v>0</v>
      </c>
      <c r="CI202" s="15">
        <f t="shared" si="183"/>
        <v>0</v>
      </c>
      <c r="CN202" s="15">
        <f>COUNTIF(CJ202:CM202,"PR")</f>
        <v>0</v>
      </c>
      <c r="CO202" s="15">
        <f>COUNTIF(CJ202:CM202,"AB")</f>
        <v>0</v>
      </c>
      <c r="CP202" s="15">
        <f t="shared" si="184"/>
        <v>0</v>
      </c>
      <c r="CU202" s="15">
        <f t="shared" si="169"/>
        <v>0</v>
      </c>
      <c r="CV202" s="15">
        <f t="shared" si="155"/>
        <v>0</v>
      </c>
      <c r="CW202" s="15">
        <f t="shared" si="156"/>
        <v>0</v>
      </c>
      <c r="CX202" s="15">
        <f>CG202+CN202+CU202</f>
        <v>0</v>
      </c>
      <c r="CY202" s="15" t="e">
        <f>SUM(CE202,#REF!,CS202)</f>
        <v>#REF!</v>
      </c>
      <c r="CZ202" s="1" t="e">
        <f t="shared" si="173"/>
        <v>#REF!</v>
      </c>
      <c r="DA202" s="78"/>
    </row>
    <row r="203" spans="1:105">
      <c r="A203" s="91"/>
      <c r="B203" s="14"/>
      <c r="H203" s="15">
        <f t="shared" ref="H203:H239" si="191">COUNTIF(C203:G203,"PR")</f>
        <v>0</v>
      </c>
      <c r="I203" s="18">
        <f t="shared" si="187"/>
        <v>0</v>
      </c>
      <c r="J203" s="15">
        <f t="shared" si="188"/>
        <v>0</v>
      </c>
      <c r="O203" s="15">
        <f t="shared" si="163"/>
        <v>0</v>
      </c>
      <c r="P203" s="18">
        <f t="shared" si="189"/>
        <v>0</v>
      </c>
      <c r="Q203" s="15">
        <f t="shared" si="190"/>
        <v>0</v>
      </c>
      <c r="V203" s="15">
        <f t="shared" si="157"/>
        <v>0</v>
      </c>
      <c r="W203" s="15">
        <f t="shared" si="158"/>
        <v>0</v>
      </c>
      <c r="X203" s="15">
        <f t="shared" si="186"/>
        <v>0</v>
      </c>
      <c r="Y203" s="15">
        <f>J203+Q203+X203</f>
        <v>0</v>
      </c>
      <c r="Z203" s="15">
        <f>SUM(H203,O203,V203)</f>
        <v>0</v>
      </c>
      <c r="AA203" s="78" t="e">
        <f t="shared" si="170"/>
        <v>#DIV/0!</v>
      </c>
      <c r="AB203" s="78"/>
      <c r="AG203" s="15">
        <f t="shared" si="164"/>
        <v>0</v>
      </c>
      <c r="AH203" s="15">
        <f t="shared" si="174"/>
        <v>0</v>
      </c>
      <c r="AI203" s="15">
        <f t="shared" si="175"/>
        <v>0</v>
      </c>
      <c r="AO203" s="15">
        <f t="shared" si="165"/>
        <v>0</v>
      </c>
      <c r="AP203" s="15">
        <f t="shared" si="176"/>
        <v>0</v>
      </c>
      <c r="AQ203" s="15">
        <f t="shared" si="177"/>
        <v>0</v>
      </c>
      <c r="AV203" s="15">
        <f>COUNTIF(AR203:AU203,"PR")</f>
        <v>0</v>
      </c>
      <c r="AW203" s="15">
        <f t="shared" si="159"/>
        <v>0</v>
      </c>
      <c r="AX203" s="15">
        <f t="shared" si="185"/>
        <v>0</v>
      </c>
      <c r="AY203" s="15">
        <f>AI203+AQ203+AX203</f>
        <v>0</v>
      </c>
      <c r="AZ203" s="15">
        <f>SUM(AG203,AO203,AV203)</f>
        <v>0</v>
      </c>
      <c r="BA203" s="78" t="e">
        <f t="shared" si="171"/>
        <v>#DIV/0!</v>
      </c>
      <c r="BD203" s="1"/>
      <c r="BF203" s="15">
        <f t="shared" si="166"/>
        <v>0</v>
      </c>
      <c r="BG203" s="15">
        <f t="shared" si="178"/>
        <v>0</v>
      </c>
      <c r="BH203" s="15">
        <f t="shared" si="179"/>
        <v>0</v>
      </c>
      <c r="BN203" s="15">
        <f t="shared" si="167"/>
        <v>0</v>
      </c>
      <c r="BO203" s="15">
        <f t="shared" si="160"/>
        <v>0</v>
      </c>
      <c r="BP203" s="15">
        <f t="shared" si="180"/>
        <v>0</v>
      </c>
      <c r="BU203" s="15">
        <f t="shared" si="168"/>
        <v>0</v>
      </c>
      <c r="BV203" s="15">
        <f t="shared" si="181"/>
        <v>0</v>
      </c>
      <c r="BW203" s="15">
        <f t="shared" si="182"/>
        <v>0</v>
      </c>
      <c r="BX203" s="15">
        <f t="shared" si="161"/>
        <v>0</v>
      </c>
      <c r="BY203" s="15">
        <f t="shared" si="162"/>
        <v>0</v>
      </c>
      <c r="BZ203" s="1" t="e">
        <f t="shared" si="172"/>
        <v>#DIV/0!</v>
      </c>
      <c r="CA203" s="78"/>
      <c r="CG203" s="15">
        <f>COUNTIF(CB203:CF203,"PR")</f>
        <v>0</v>
      </c>
      <c r="CH203" s="15">
        <f>COUNTIF(CB203:CF203,"AB")</f>
        <v>0</v>
      </c>
      <c r="CI203" s="15">
        <f t="shared" si="183"/>
        <v>0</v>
      </c>
      <c r="CN203" s="15">
        <f>COUNTIF(CJ203:CM203,"PR")</f>
        <v>0</v>
      </c>
      <c r="CO203" s="15">
        <f>COUNTIF(CJ203:CM203,"AB")</f>
        <v>0</v>
      </c>
      <c r="CP203" s="15">
        <f t="shared" si="184"/>
        <v>0</v>
      </c>
      <c r="CU203" s="15">
        <f t="shared" si="169"/>
        <v>0</v>
      </c>
      <c r="CV203" s="15">
        <f t="shared" si="155"/>
        <v>0</v>
      </c>
      <c r="CW203" s="15">
        <f t="shared" si="156"/>
        <v>0</v>
      </c>
      <c r="CX203" s="15">
        <f>CG203+CN203+CU203</f>
        <v>0</v>
      </c>
      <c r="CY203" s="15" t="e">
        <f>SUM(CE203,#REF!,CS203)</f>
        <v>#REF!</v>
      </c>
      <c r="CZ203" s="1" t="e">
        <f t="shared" si="173"/>
        <v>#REF!</v>
      </c>
      <c r="DA203" s="78"/>
    </row>
    <row r="204" spans="1:105">
      <c r="A204" s="91"/>
      <c r="B204" s="14"/>
      <c r="H204" s="15">
        <f t="shared" si="191"/>
        <v>0</v>
      </c>
      <c r="I204" s="18">
        <f t="shared" si="187"/>
        <v>0</v>
      </c>
      <c r="J204" s="15">
        <f t="shared" si="188"/>
        <v>0</v>
      </c>
      <c r="O204" s="15">
        <f t="shared" si="163"/>
        <v>0</v>
      </c>
      <c r="P204" s="18">
        <f t="shared" si="189"/>
        <v>0</v>
      </c>
      <c r="Q204" s="15">
        <f t="shared" si="190"/>
        <v>0</v>
      </c>
      <c r="V204" s="15">
        <f t="shared" ref="V204:V239" si="192">COUNTIF(R204:U204,"PR")</f>
        <v>0</v>
      </c>
      <c r="W204" s="15">
        <f t="shared" ref="W204:W239" si="193">COUNTIF(R204:U204,"AB")</f>
        <v>0</v>
      </c>
      <c r="X204" s="15">
        <f t="shared" si="186"/>
        <v>0</v>
      </c>
      <c r="Y204" s="15">
        <f>J204+Q204+X204</f>
        <v>0</v>
      </c>
      <c r="Z204" s="15">
        <f>SUM(H204,O204,V204)</f>
        <v>0</v>
      </c>
      <c r="AA204" s="78" t="e">
        <f t="shared" si="170"/>
        <v>#DIV/0!</v>
      </c>
      <c r="AB204" s="78"/>
      <c r="AG204" s="15">
        <f t="shared" si="164"/>
        <v>0</v>
      </c>
      <c r="AH204" s="15">
        <f t="shared" si="174"/>
        <v>0</v>
      </c>
      <c r="AI204" s="15">
        <f t="shared" si="175"/>
        <v>0</v>
      </c>
      <c r="AO204" s="15">
        <f t="shared" si="165"/>
        <v>0</v>
      </c>
      <c r="AP204" s="15">
        <f t="shared" si="176"/>
        <v>0</v>
      </c>
      <c r="AQ204" s="15">
        <f t="shared" si="177"/>
        <v>0</v>
      </c>
      <c r="AV204" s="15">
        <f>COUNTIF(AR204:AU204,"PR")</f>
        <v>0</v>
      </c>
      <c r="AW204" s="15">
        <f t="shared" ref="AW204:AW239" si="194">COUNTIF(AR204:AU204,"AB")</f>
        <v>0</v>
      </c>
      <c r="AX204" s="15">
        <f t="shared" si="185"/>
        <v>0</v>
      </c>
      <c r="AY204" s="15">
        <f>AI204+AQ204+AX204</f>
        <v>0</v>
      </c>
      <c r="AZ204" s="15">
        <f>SUM(AG204,AO204,AV204)</f>
        <v>0</v>
      </c>
      <c r="BA204" s="78" t="e">
        <f t="shared" si="171"/>
        <v>#DIV/0!</v>
      </c>
      <c r="BD204" s="1"/>
      <c r="BF204" s="15">
        <f t="shared" si="166"/>
        <v>0</v>
      </c>
      <c r="BG204" s="15">
        <f t="shared" si="178"/>
        <v>0</v>
      </c>
      <c r="BH204" s="15">
        <f t="shared" si="179"/>
        <v>0</v>
      </c>
      <c r="BN204" s="15">
        <f t="shared" si="167"/>
        <v>0</v>
      </c>
      <c r="BO204" s="15">
        <f t="shared" ref="BO204:BO239" si="195">COUNTIF(BI204:BM204,"AB")</f>
        <v>0</v>
      </c>
      <c r="BP204" s="15">
        <f t="shared" si="180"/>
        <v>0</v>
      </c>
      <c r="BU204" s="15">
        <f t="shared" si="168"/>
        <v>0</v>
      </c>
      <c r="BV204" s="15">
        <f t="shared" si="181"/>
        <v>0</v>
      </c>
      <c r="BW204" s="15">
        <f t="shared" si="182"/>
        <v>0</v>
      </c>
      <c r="BX204" s="15">
        <f t="shared" ref="BX204:BX239" si="196">BH204+BP204+BW204</f>
        <v>0</v>
      </c>
      <c r="BY204" s="15">
        <f t="shared" ref="BY204:BY239" si="197">SUM(BF204,BN204,BU204)</f>
        <v>0</v>
      </c>
      <c r="BZ204" s="1" t="e">
        <f t="shared" si="172"/>
        <v>#DIV/0!</v>
      </c>
      <c r="CA204" s="78"/>
      <c r="CG204" s="15">
        <f>COUNTIF(CB204:CF204,"PR")</f>
        <v>0</v>
      </c>
      <c r="CH204" s="15">
        <f>COUNTIF(CB204:CF204,"AB")</f>
        <v>0</v>
      </c>
      <c r="CI204" s="15">
        <f t="shared" si="183"/>
        <v>0</v>
      </c>
      <c r="CN204" s="15">
        <f>COUNTIF(CJ204:CM204,"PR")</f>
        <v>0</v>
      </c>
      <c r="CO204" s="15">
        <f>COUNTIF(CJ204:CM204,"AB")</f>
        <v>0</v>
      </c>
      <c r="CP204" s="15">
        <f t="shared" si="184"/>
        <v>0</v>
      </c>
      <c r="CU204" s="15">
        <f t="shared" si="169"/>
        <v>0</v>
      </c>
      <c r="CV204" s="15">
        <f t="shared" ref="CV204:CV239" si="198">COUNTIF(CQ204:CT204,"AB")</f>
        <v>0</v>
      </c>
      <c r="CW204" s="15">
        <f t="shared" ref="CW204:CW239" si="199">CU204+CV204</f>
        <v>0</v>
      </c>
      <c r="CX204" s="15">
        <f>CG204+CN204+CU204</f>
        <v>0</v>
      </c>
      <c r="CY204" s="15" t="e">
        <f>SUM(CE204,#REF!,CS204)</f>
        <v>#REF!</v>
      </c>
      <c r="CZ204" s="1" t="e">
        <f t="shared" si="173"/>
        <v>#REF!</v>
      </c>
      <c r="DA204" s="78"/>
    </row>
    <row r="205" spans="1:105">
      <c r="A205" s="91"/>
      <c r="B205" s="14"/>
      <c r="H205" s="15">
        <f t="shared" si="191"/>
        <v>0</v>
      </c>
      <c r="I205" s="18">
        <f t="shared" si="187"/>
        <v>0</v>
      </c>
      <c r="J205" s="15">
        <f t="shared" si="188"/>
        <v>0</v>
      </c>
      <c r="O205" s="15">
        <f t="shared" si="163"/>
        <v>0</v>
      </c>
      <c r="P205" s="18">
        <f t="shared" si="189"/>
        <v>0</v>
      </c>
      <c r="Q205" s="15">
        <f t="shared" si="190"/>
        <v>0</v>
      </c>
      <c r="V205" s="15">
        <f t="shared" si="192"/>
        <v>0</v>
      </c>
      <c r="W205" s="15">
        <f t="shared" si="193"/>
        <v>0</v>
      </c>
      <c r="X205" s="15">
        <f t="shared" si="186"/>
        <v>0</v>
      </c>
      <c r="Y205" s="15">
        <f>J205+Q205+X205</f>
        <v>0</v>
      </c>
      <c r="Z205" s="15">
        <f>SUM(H205,O205,V205)</f>
        <v>0</v>
      </c>
      <c r="AA205" s="78" t="e">
        <f t="shared" si="170"/>
        <v>#DIV/0!</v>
      </c>
      <c r="AB205" s="78"/>
      <c r="AG205" s="15">
        <f t="shared" si="164"/>
        <v>0</v>
      </c>
      <c r="AH205" s="15">
        <f t="shared" si="174"/>
        <v>0</v>
      </c>
      <c r="AI205" s="15">
        <f t="shared" si="175"/>
        <v>0</v>
      </c>
      <c r="AO205" s="15">
        <f t="shared" si="165"/>
        <v>0</v>
      </c>
      <c r="AP205" s="15">
        <f t="shared" si="176"/>
        <v>0</v>
      </c>
      <c r="AQ205" s="15">
        <f t="shared" si="177"/>
        <v>0</v>
      </c>
      <c r="AV205" s="15">
        <f>COUNTIF(AR205:AU205,"PR")</f>
        <v>0</v>
      </c>
      <c r="AW205" s="15">
        <f t="shared" si="194"/>
        <v>0</v>
      </c>
      <c r="AX205" s="15">
        <f t="shared" si="185"/>
        <v>0</v>
      </c>
      <c r="AY205" s="15">
        <f>AI205+AQ205+AX205</f>
        <v>0</v>
      </c>
      <c r="AZ205" s="15">
        <f>SUM(AG205,AO205,AV205)</f>
        <v>0</v>
      </c>
      <c r="BA205" s="78" t="e">
        <f t="shared" si="171"/>
        <v>#DIV/0!</v>
      </c>
      <c r="BD205" s="1"/>
      <c r="BF205" s="15">
        <f t="shared" si="166"/>
        <v>0</v>
      </c>
      <c r="BG205" s="15">
        <f t="shared" si="178"/>
        <v>0</v>
      </c>
      <c r="BH205" s="15">
        <f t="shared" si="179"/>
        <v>0</v>
      </c>
      <c r="BN205" s="15">
        <f t="shared" si="167"/>
        <v>0</v>
      </c>
      <c r="BO205" s="15">
        <f t="shared" si="195"/>
        <v>0</v>
      </c>
      <c r="BP205" s="15">
        <f t="shared" si="180"/>
        <v>0</v>
      </c>
      <c r="BU205" s="15">
        <f t="shared" si="168"/>
        <v>0</v>
      </c>
      <c r="BV205" s="15">
        <f t="shared" si="181"/>
        <v>0</v>
      </c>
      <c r="BW205" s="15">
        <f t="shared" si="182"/>
        <v>0</v>
      </c>
      <c r="BX205" s="15">
        <f t="shared" si="196"/>
        <v>0</v>
      </c>
      <c r="BY205" s="15">
        <f t="shared" si="197"/>
        <v>0</v>
      </c>
      <c r="BZ205" s="1" t="e">
        <f t="shared" si="172"/>
        <v>#DIV/0!</v>
      </c>
      <c r="CA205" s="78"/>
      <c r="CG205" s="15">
        <f>COUNTIF(CB205:CF205,"PR")</f>
        <v>0</v>
      </c>
      <c r="CH205" s="15">
        <f>COUNTIF(CB205:CF205,"AB")</f>
        <v>0</v>
      </c>
      <c r="CI205" s="15">
        <f t="shared" si="183"/>
        <v>0</v>
      </c>
      <c r="CN205" s="15">
        <f>COUNTIF(CJ205:CM205,"PR")</f>
        <v>0</v>
      </c>
      <c r="CO205" s="15">
        <f>COUNTIF(CJ205:CM205,"AB")</f>
        <v>0</v>
      </c>
      <c r="CP205" s="15">
        <f t="shared" si="184"/>
        <v>0</v>
      </c>
      <c r="CU205" s="15">
        <f t="shared" si="169"/>
        <v>0</v>
      </c>
      <c r="CV205" s="15">
        <f t="shared" si="198"/>
        <v>0</v>
      </c>
      <c r="CW205" s="15">
        <f t="shared" si="199"/>
        <v>0</v>
      </c>
      <c r="CX205" s="15">
        <f>CG205+CN205+CU205</f>
        <v>0</v>
      </c>
      <c r="CY205" s="15" t="e">
        <f>SUM(CE205,#REF!,CS205)</f>
        <v>#REF!</v>
      </c>
      <c r="CZ205" s="1" t="e">
        <f t="shared" si="173"/>
        <v>#REF!</v>
      </c>
      <c r="DA205" s="78"/>
    </row>
    <row r="206" spans="1:105">
      <c r="A206" s="91"/>
      <c r="B206" s="14"/>
      <c r="H206" s="15">
        <f t="shared" si="191"/>
        <v>0</v>
      </c>
      <c r="I206" s="18">
        <f t="shared" si="187"/>
        <v>0</v>
      </c>
      <c r="J206" s="15">
        <f t="shared" si="188"/>
        <v>0</v>
      </c>
      <c r="O206" s="15">
        <f t="shared" si="163"/>
        <v>0</v>
      </c>
      <c r="P206" s="18">
        <f t="shared" si="189"/>
        <v>0</v>
      </c>
      <c r="Q206" s="15">
        <f t="shared" si="190"/>
        <v>0</v>
      </c>
      <c r="V206" s="15">
        <f t="shared" si="192"/>
        <v>0</v>
      </c>
      <c r="W206" s="15">
        <f t="shared" si="193"/>
        <v>0</v>
      </c>
      <c r="X206" s="15">
        <f t="shared" si="186"/>
        <v>0</v>
      </c>
      <c r="Y206" s="15">
        <f>J206+Q206+X206</f>
        <v>0</v>
      </c>
      <c r="Z206" s="15">
        <f>SUM(H206,O206,V206)</f>
        <v>0</v>
      </c>
      <c r="AA206" s="78" t="e">
        <f t="shared" si="170"/>
        <v>#DIV/0!</v>
      </c>
      <c r="AB206" s="78"/>
      <c r="AG206" s="15">
        <f t="shared" si="164"/>
        <v>0</v>
      </c>
      <c r="AH206" s="15">
        <f t="shared" si="174"/>
        <v>0</v>
      </c>
      <c r="AI206" s="15">
        <f t="shared" si="175"/>
        <v>0</v>
      </c>
      <c r="AO206" s="15">
        <f t="shared" si="165"/>
        <v>0</v>
      </c>
      <c r="AP206" s="15">
        <f t="shared" si="176"/>
        <v>0</v>
      </c>
      <c r="AQ206" s="15">
        <f t="shared" si="177"/>
        <v>0</v>
      </c>
      <c r="AV206" s="15">
        <f>COUNTIF(AR206:AU206,"PR")</f>
        <v>0</v>
      </c>
      <c r="AW206" s="15">
        <f t="shared" si="194"/>
        <v>0</v>
      </c>
      <c r="AX206" s="15">
        <f t="shared" si="185"/>
        <v>0</v>
      </c>
      <c r="AY206" s="15">
        <f>AI206+AQ206+AX206</f>
        <v>0</v>
      </c>
      <c r="AZ206" s="15">
        <f>SUM(AG206,AO206,AV206)</f>
        <v>0</v>
      </c>
      <c r="BA206" s="78" t="e">
        <f t="shared" si="171"/>
        <v>#DIV/0!</v>
      </c>
      <c r="BD206" s="1"/>
      <c r="BF206" s="15">
        <f t="shared" si="166"/>
        <v>0</v>
      </c>
      <c r="BG206" s="15">
        <f t="shared" si="178"/>
        <v>0</v>
      </c>
      <c r="BH206" s="15">
        <f t="shared" si="179"/>
        <v>0</v>
      </c>
      <c r="BN206" s="15">
        <f t="shared" si="167"/>
        <v>0</v>
      </c>
      <c r="BO206" s="15">
        <f t="shared" si="195"/>
        <v>0</v>
      </c>
      <c r="BP206" s="15">
        <f t="shared" si="180"/>
        <v>0</v>
      </c>
      <c r="BU206" s="15">
        <f t="shared" si="168"/>
        <v>0</v>
      </c>
      <c r="BV206" s="15">
        <f t="shared" si="181"/>
        <v>0</v>
      </c>
      <c r="BW206" s="15">
        <f t="shared" si="182"/>
        <v>0</v>
      </c>
      <c r="BX206" s="15">
        <f t="shared" si="196"/>
        <v>0</v>
      </c>
      <c r="BY206" s="15">
        <f t="shared" si="197"/>
        <v>0</v>
      </c>
      <c r="BZ206" s="1" t="e">
        <f t="shared" si="172"/>
        <v>#DIV/0!</v>
      </c>
      <c r="CA206" s="78"/>
      <c r="CG206" s="15">
        <f>COUNTIF(CB206:CF206,"PR")</f>
        <v>0</v>
      </c>
      <c r="CH206" s="15">
        <f>COUNTIF(CB206:CF206,"AB")</f>
        <v>0</v>
      </c>
      <c r="CI206" s="15">
        <f t="shared" si="183"/>
        <v>0</v>
      </c>
      <c r="CN206" s="15">
        <f>COUNTIF(CJ206:CM206,"PR")</f>
        <v>0</v>
      </c>
      <c r="CO206" s="15">
        <f>COUNTIF(CJ206:CM206,"AB")</f>
        <v>0</v>
      </c>
      <c r="CP206" s="15">
        <f t="shared" si="184"/>
        <v>0</v>
      </c>
      <c r="CU206" s="15">
        <f t="shared" si="169"/>
        <v>0</v>
      </c>
      <c r="CV206" s="15">
        <f t="shared" si="198"/>
        <v>0</v>
      </c>
      <c r="CW206" s="15">
        <f t="shared" si="199"/>
        <v>0</v>
      </c>
      <c r="CX206" s="15">
        <f>CG206+CN206+CU206</f>
        <v>0</v>
      </c>
      <c r="CY206" s="15" t="e">
        <f>SUM(CE206,#REF!,CS206)</f>
        <v>#REF!</v>
      </c>
      <c r="CZ206" s="1" t="e">
        <f t="shared" si="173"/>
        <v>#REF!</v>
      </c>
      <c r="DA206" s="78"/>
    </row>
    <row r="207" spans="1:105">
      <c r="A207" s="91"/>
      <c r="B207" s="14"/>
      <c r="H207" s="15">
        <f t="shared" si="191"/>
        <v>0</v>
      </c>
      <c r="I207" s="18">
        <f t="shared" si="187"/>
        <v>0</v>
      </c>
      <c r="J207" s="15">
        <f t="shared" si="188"/>
        <v>0</v>
      </c>
      <c r="O207" s="15">
        <f t="shared" si="163"/>
        <v>0</v>
      </c>
      <c r="P207" s="18">
        <f t="shared" si="189"/>
        <v>0</v>
      </c>
      <c r="Q207" s="15">
        <f t="shared" si="190"/>
        <v>0</v>
      </c>
      <c r="V207" s="15">
        <f t="shared" si="192"/>
        <v>0</v>
      </c>
      <c r="W207" s="15">
        <f t="shared" si="193"/>
        <v>0</v>
      </c>
      <c r="X207" s="15">
        <f t="shared" si="186"/>
        <v>0</v>
      </c>
      <c r="Y207" s="15">
        <f>J207+Q207+X207</f>
        <v>0</v>
      </c>
      <c r="Z207" s="15">
        <f>SUM(H207,O207,V207)</f>
        <v>0</v>
      </c>
      <c r="AA207" s="78" t="e">
        <f t="shared" si="170"/>
        <v>#DIV/0!</v>
      </c>
      <c r="AB207" s="78"/>
      <c r="AG207" s="15">
        <f t="shared" si="164"/>
        <v>0</v>
      </c>
      <c r="AH207" s="15">
        <f t="shared" si="174"/>
        <v>0</v>
      </c>
      <c r="AI207" s="15">
        <f t="shared" si="175"/>
        <v>0</v>
      </c>
      <c r="AO207" s="15">
        <f t="shared" si="165"/>
        <v>0</v>
      </c>
      <c r="AP207" s="15">
        <f t="shared" si="176"/>
        <v>0</v>
      </c>
      <c r="AQ207" s="15">
        <f t="shared" si="177"/>
        <v>0</v>
      </c>
      <c r="AV207" s="15">
        <f>COUNTIF(AR207:AU207,"PR")</f>
        <v>0</v>
      </c>
      <c r="AW207" s="15">
        <f t="shared" si="194"/>
        <v>0</v>
      </c>
      <c r="AX207" s="15">
        <f t="shared" si="185"/>
        <v>0</v>
      </c>
      <c r="AY207" s="15">
        <f>AI207+AQ207+AX207</f>
        <v>0</v>
      </c>
      <c r="AZ207" s="15">
        <f>SUM(AG207,AO207,AV207)</f>
        <v>0</v>
      </c>
      <c r="BA207" s="78" t="e">
        <f t="shared" si="171"/>
        <v>#DIV/0!</v>
      </c>
      <c r="BD207" s="1"/>
      <c r="BF207" s="15">
        <f t="shared" si="166"/>
        <v>0</v>
      </c>
      <c r="BG207" s="15">
        <f t="shared" si="178"/>
        <v>0</v>
      </c>
      <c r="BH207" s="15">
        <f t="shared" si="179"/>
        <v>0</v>
      </c>
      <c r="BN207" s="15">
        <f t="shared" si="167"/>
        <v>0</v>
      </c>
      <c r="BO207" s="15">
        <f t="shared" si="195"/>
        <v>0</v>
      </c>
      <c r="BP207" s="15">
        <f t="shared" si="180"/>
        <v>0</v>
      </c>
      <c r="BU207" s="15">
        <f t="shared" si="168"/>
        <v>0</v>
      </c>
      <c r="BV207" s="15">
        <f t="shared" si="181"/>
        <v>0</v>
      </c>
      <c r="BW207" s="15">
        <f t="shared" si="182"/>
        <v>0</v>
      </c>
      <c r="BX207" s="15">
        <f t="shared" si="196"/>
        <v>0</v>
      </c>
      <c r="BY207" s="15">
        <f t="shared" si="197"/>
        <v>0</v>
      </c>
      <c r="BZ207" s="1" t="e">
        <f t="shared" si="172"/>
        <v>#DIV/0!</v>
      </c>
      <c r="CA207" s="78"/>
      <c r="CG207" s="15">
        <f>COUNTIF(CB207:CF207,"PR")</f>
        <v>0</v>
      </c>
      <c r="CH207" s="15">
        <f>COUNTIF(CB207:CF207,"AB")</f>
        <v>0</v>
      </c>
      <c r="CI207" s="15">
        <f t="shared" si="183"/>
        <v>0</v>
      </c>
      <c r="CN207" s="15">
        <f>COUNTIF(CJ207:CM207,"PR")</f>
        <v>0</v>
      </c>
      <c r="CO207" s="15">
        <f>COUNTIF(CJ207:CM207,"AB")</f>
        <v>0</v>
      </c>
      <c r="CP207" s="15">
        <f t="shared" si="184"/>
        <v>0</v>
      </c>
      <c r="CU207" s="15">
        <f t="shared" si="169"/>
        <v>0</v>
      </c>
      <c r="CV207" s="15">
        <f t="shared" si="198"/>
        <v>0</v>
      </c>
      <c r="CW207" s="15">
        <f t="shared" si="199"/>
        <v>0</v>
      </c>
      <c r="CX207" s="15">
        <f>CG207+CN207+CU207</f>
        <v>0</v>
      </c>
      <c r="CY207" s="15" t="e">
        <f>SUM(CE207,#REF!,CS207)</f>
        <v>#REF!</v>
      </c>
      <c r="CZ207" s="1" t="e">
        <f t="shared" si="173"/>
        <v>#REF!</v>
      </c>
      <c r="DA207" s="78"/>
    </row>
    <row r="208" spans="1:105">
      <c r="A208" s="91"/>
      <c r="B208" s="14"/>
      <c r="H208" s="15">
        <f t="shared" si="191"/>
        <v>0</v>
      </c>
      <c r="I208" s="18">
        <f t="shared" si="187"/>
        <v>0</v>
      </c>
      <c r="J208" s="15">
        <f t="shared" si="188"/>
        <v>0</v>
      </c>
      <c r="O208" s="15">
        <f t="shared" ref="O208:O271" si="200">COUNTIF(K208:N208,"PR")</f>
        <v>0</v>
      </c>
      <c r="P208" s="18">
        <f t="shared" si="189"/>
        <v>0</v>
      </c>
      <c r="Q208" s="15">
        <f t="shared" si="190"/>
        <v>0</v>
      </c>
      <c r="V208" s="15">
        <f t="shared" si="192"/>
        <v>0</v>
      </c>
      <c r="W208" s="15">
        <f t="shared" si="193"/>
        <v>0</v>
      </c>
      <c r="X208" s="15">
        <f t="shared" si="186"/>
        <v>0</v>
      </c>
      <c r="Y208" s="15">
        <f>J208+Q208+X208</f>
        <v>0</v>
      </c>
      <c r="Z208" s="15">
        <f>SUM(H208,O208,V208)</f>
        <v>0</v>
      </c>
      <c r="AA208" s="78" t="e">
        <f t="shared" si="170"/>
        <v>#DIV/0!</v>
      </c>
      <c r="AB208" s="78"/>
      <c r="AG208" s="15">
        <f t="shared" ref="AG208:AG271" si="201">COUNTIF(AC208:AF208,"PR")</f>
        <v>0</v>
      </c>
      <c r="AH208" s="15">
        <f t="shared" si="174"/>
        <v>0</v>
      </c>
      <c r="AI208" s="15">
        <f t="shared" si="175"/>
        <v>0</v>
      </c>
      <c r="AO208" s="15">
        <f t="shared" ref="AO208:AO271" si="202">COUNTIF(AJ208:AN208,"PR")</f>
        <v>0</v>
      </c>
      <c r="AP208" s="15">
        <f t="shared" si="176"/>
        <v>0</v>
      </c>
      <c r="AQ208" s="15">
        <f t="shared" si="177"/>
        <v>0</v>
      </c>
      <c r="AV208" s="15">
        <f>COUNTIF(AR208:AU208,"PR")</f>
        <v>0</v>
      </c>
      <c r="AW208" s="15">
        <f t="shared" si="194"/>
        <v>0</v>
      </c>
      <c r="AX208" s="15">
        <f t="shared" si="185"/>
        <v>0</v>
      </c>
      <c r="AY208" s="15">
        <f>AI208+AQ208+AX208</f>
        <v>0</v>
      </c>
      <c r="AZ208" s="15">
        <f>SUM(AG208,AO208,AV208)</f>
        <v>0</v>
      </c>
      <c r="BA208" s="78" t="e">
        <f t="shared" si="171"/>
        <v>#DIV/0!</v>
      </c>
      <c r="BD208" s="1"/>
      <c r="BF208" s="15">
        <f t="shared" ref="BF208:BF271" si="203">COUNTIF(BB208:BE208,"PR")</f>
        <v>0</v>
      </c>
      <c r="BG208" s="15">
        <f t="shared" si="178"/>
        <v>0</v>
      </c>
      <c r="BH208" s="15">
        <f t="shared" si="179"/>
        <v>0</v>
      </c>
      <c r="BN208" s="15">
        <f t="shared" ref="BN208:BN271" si="204">COUNTIF(BI208:BM208,"PR")</f>
        <v>0</v>
      </c>
      <c r="BO208" s="15">
        <f t="shared" si="195"/>
        <v>0</v>
      </c>
      <c r="BP208" s="15">
        <f t="shared" si="180"/>
        <v>0</v>
      </c>
      <c r="BU208" s="15">
        <f t="shared" ref="BU208:BU271" si="205">COUNTIF(BQ208:BT208,"PR")</f>
        <v>0</v>
      </c>
      <c r="BV208" s="15">
        <f t="shared" si="181"/>
        <v>0</v>
      </c>
      <c r="BW208" s="15">
        <f t="shared" si="182"/>
        <v>0</v>
      </c>
      <c r="BX208" s="15">
        <f t="shared" si="196"/>
        <v>0</v>
      </c>
      <c r="BY208" s="15">
        <f t="shared" si="197"/>
        <v>0</v>
      </c>
      <c r="BZ208" s="1" t="e">
        <f t="shared" si="172"/>
        <v>#DIV/0!</v>
      </c>
      <c r="CA208" s="78"/>
      <c r="CG208" s="15">
        <f>COUNTIF(CB208:CF208,"PR")</f>
        <v>0</v>
      </c>
      <c r="CH208" s="15">
        <f>COUNTIF(CB208:CF208,"AB")</f>
        <v>0</v>
      </c>
      <c r="CI208" s="15">
        <f t="shared" si="183"/>
        <v>0</v>
      </c>
      <c r="CN208" s="15">
        <f>COUNTIF(CJ208:CM208,"PR")</f>
        <v>0</v>
      </c>
      <c r="CO208" s="15">
        <f>COUNTIF(CJ208:CM208,"AB")</f>
        <v>0</v>
      </c>
      <c r="CP208" s="15">
        <f t="shared" si="184"/>
        <v>0</v>
      </c>
      <c r="CU208" s="15">
        <f t="shared" ref="CU208:CU271" si="206">COUNTIF(CQ208:CT208,"PR")</f>
        <v>0</v>
      </c>
      <c r="CV208" s="15">
        <f t="shared" si="198"/>
        <v>0</v>
      </c>
      <c r="CW208" s="15">
        <f t="shared" si="199"/>
        <v>0</v>
      </c>
      <c r="CX208" s="15">
        <f>CG208+CN208+CU208</f>
        <v>0</v>
      </c>
      <c r="CY208" s="15" t="e">
        <f>SUM(CE208,#REF!,CS208)</f>
        <v>#REF!</v>
      </c>
      <c r="CZ208" s="1" t="e">
        <f t="shared" si="173"/>
        <v>#REF!</v>
      </c>
      <c r="DA208" s="78"/>
    </row>
    <row r="209" spans="1:105">
      <c r="A209" s="91"/>
      <c r="B209" s="14"/>
      <c r="H209" s="15">
        <f t="shared" si="191"/>
        <v>0</v>
      </c>
      <c r="I209" s="18">
        <f t="shared" si="187"/>
        <v>0</v>
      </c>
      <c r="J209" s="15">
        <f t="shared" si="188"/>
        <v>0</v>
      </c>
      <c r="O209" s="15">
        <f t="shared" si="200"/>
        <v>0</v>
      </c>
      <c r="P209" s="18">
        <f t="shared" si="189"/>
        <v>0</v>
      </c>
      <c r="Q209" s="15">
        <f t="shared" si="190"/>
        <v>0</v>
      </c>
      <c r="V209" s="15">
        <f t="shared" si="192"/>
        <v>0</v>
      </c>
      <c r="W209" s="15">
        <f t="shared" si="193"/>
        <v>0</v>
      </c>
      <c r="X209" s="15">
        <f t="shared" si="186"/>
        <v>0</v>
      </c>
      <c r="Y209" s="15">
        <f>J209+Q209+X209</f>
        <v>0</v>
      </c>
      <c r="Z209" s="15">
        <f>SUM(H209,O209,V209)</f>
        <v>0</v>
      </c>
      <c r="AA209" s="78" t="e">
        <f t="shared" ref="AA209:AA272" si="207">Z209/Y209*100</f>
        <v>#DIV/0!</v>
      </c>
      <c r="AB209" s="78"/>
      <c r="AC209" s="76"/>
      <c r="AD209" s="72"/>
      <c r="AE209" s="72"/>
      <c r="AF209" s="72"/>
      <c r="AG209" s="15">
        <f t="shared" si="201"/>
        <v>0</v>
      </c>
      <c r="AH209" s="15">
        <f t="shared" si="174"/>
        <v>0</v>
      </c>
      <c r="AI209" s="15">
        <f t="shared" si="175"/>
        <v>0</v>
      </c>
      <c r="AJ209" s="76"/>
      <c r="AK209" s="72"/>
      <c r="AL209" s="72"/>
      <c r="AM209" s="72"/>
      <c r="AO209" s="15">
        <f t="shared" si="202"/>
        <v>0</v>
      </c>
      <c r="AP209" s="15">
        <f t="shared" si="176"/>
        <v>0</v>
      </c>
      <c r="AQ209" s="15">
        <f t="shared" si="177"/>
        <v>0</v>
      </c>
      <c r="AV209" s="15">
        <f>COUNTIF(AR209:AU209,"PR")</f>
        <v>0</v>
      </c>
      <c r="AW209" s="15">
        <f t="shared" si="194"/>
        <v>0</v>
      </c>
      <c r="AX209" s="15">
        <f t="shared" si="185"/>
        <v>0</v>
      </c>
      <c r="AY209" s="15">
        <f>AI209+AQ209+AX209</f>
        <v>0</v>
      </c>
      <c r="AZ209" s="15">
        <f>SUM(AG209,AO209,AV209)</f>
        <v>0</v>
      </c>
      <c r="BA209" s="78" t="e">
        <f t="shared" ref="BA209:BA272" si="208">AZ209/AY209*100</f>
        <v>#DIV/0!</v>
      </c>
      <c r="BD209" s="1"/>
      <c r="BF209" s="15">
        <f t="shared" si="203"/>
        <v>0</v>
      </c>
      <c r="BG209" s="15">
        <f t="shared" si="178"/>
        <v>0</v>
      </c>
      <c r="BH209" s="15">
        <f t="shared" si="179"/>
        <v>0</v>
      </c>
      <c r="BN209" s="15">
        <f t="shared" si="204"/>
        <v>0</v>
      </c>
      <c r="BO209" s="15">
        <f t="shared" si="195"/>
        <v>0</v>
      </c>
      <c r="BP209" s="15">
        <f t="shared" si="180"/>
        <v>0</v>
      </c>
      <c r="BU209" s="15">
        <f t="shared" si="205"/>
        <v>0</v>
      </c>
      <c r="BV209" s="15">
        <f t="shared" si="181"/>
        <v>0</v>
      </c>
      <c r="BW209" s="15">
        <f t="shared" si="182"/>
        <v>0</v>
      </c>
      <c r="BX209" s="15">
        <f t="shared" si="196"/>
        <v>0</v>
      </c>
      <c r="BY209" s="15">
        <f t="shared" si="197"/>
        <v>0</v>
      </c>
      <c r="BZ209" s="1" t="e">
        <f t="shared" ref="BZ209:BZ239" si="209">BY209/BX209*100</f>
        <v>#DIV/0!</v>
      </c>
      <c r="CA209" s="78"/>
      <c r="CG209" s="15">
        <f>COUNTIF(CB209:CF209,"PR")</f>
        <v>0</v>
      </c>
      <c r="CH209" s="15">
        <f>COUNTIF(CB209:CF209,"AB")</f>
        <v>0</v>
      </c>
      <c r="CI209" s="15">
        <f t="shared" si="183"/>
        <v>0</v>
      </c>
      <c r="CN209" s="15">
        <f>COUNTIF(CJ209:CM209,"PR")</f>
        <v>0</v>
      </c>
      <c r="CO209" s="15">
        <f>COUNTIF(CJ209:CM209,"AB")</f>
        <v>0</v>
      </c>
      <c r="CP209" s="15">
        <f t="shared" si="184"/>
        <v>0</v>
      </c>
      <c r="CU209" s="15">
        <f t="shared" si="206"/>
        <v>0</v>
      </c>
      <c r="CV209" s="15">
        <f t="shared" si="198"/>
        <v>0</v>
      </c>
      <c r="CW209" s="15">
        <f t="shared" si="199"/>
        <v>0</v>
      </c>
      <c r="CX209" s="15">
        <f>CG209+CN209+CU209</f>
        <v>0</v>
      </c>
      <c r="CY209" s="15" t="e">
        <f>SUM(CE209,#REF!,CS209)</f>
        <v>#REF!</v>
      </c>
      <c r="CZ209" s="1" t="e">
        <f t="shared" ref="CZ209:CZ272" si="210">CY209/CX209*100</f>
        <v>#REF!</v>
      </c>
      <c r="DA209" s="78"/>
    </row>
    <row r="210" spans="1:105">
      <c r="A210" s="91"/>
      <c r="B210" s="14"/>
      <c r="H210" s="15">
        <f t="shared" si="191"/>
        <v>0</v>
      </c>
      <c r="I210" s="18">
        <f t="shared" si="187"/>
        <v>0</v>
      </c>
      <c r="J210" s="15">
        <f t="shared" si="188"/>
        <v>0</v>
      </c>
      <c r="O210" s="15">
        <f t="shared" si="200"/>
        <v>0</v>
      </c>
      <c r="P210" s="18">
        <f t="shared" si="189"/>
        <v>0</v>
      </c>
      <c r="Q210" s="15">
        <f t="shared" si="190"/>
        <v>0</v>
      </c>
      <c r="V210" s="15">
        <f t="shared" si="192"/>
        <v>0</v>
      </c>
      <c r="W210" s="15">
        <f t="shared" si="193"/>
        <v>0</v>
      </c>
      <c r="X210" s="15">
        <f t="shared" si="186"/>
        <v>0</v>
      </c>
      <c r="Y210" s="15">
        <f>J210+Q210+X210</f>
        <v>0</v>
      </c>
      <c r="Z210" s="15">
        <f>SUM(H210,O210,V210)</f>
        <v>0</v>
      </c>
      <c r="AA210" s="78" t="e">
        <f t="shared" si="207"/>
        <v>#DIV/0!</v>
      </c>
      <c r="AB210" s="78"/>
      <c r="AG210" s="15">
        <f t="shared" si="201"/>
        <v>0</v>
      </c>
      <c r="AH210" s="15">
        <f t="shared" si="174"/>
        <v>0</v>
      </c>
      <c r="AI210" s="15">
        <f t="shared" si="175"/>
        <v>0</v>
      </c>
      <c r="AO210" s="15">
        <f t="shared" si="202"/>
        <v>0</v>
      </c>
      <c r="AP210" s="15">
        <f t="shared" si="176"/>
        <v>0</v>
      </c>
      <c r="AQ210" s="15">
        <f t="shared" si="177"/>
        <v>0</v>
      </c>
      <c r="AV210" s="15">
        <f>COUNTIF(AR210:AU210,"PR")</f>
        <v>0</v>
      </c>
      <c r="AW210" s="15">
        <f t="shared" si="194"/>
        <v>0</v>
      </c>
      <c r="AX210" s="15">
        <f t="shared" si="185"/>
        <v>0</v>
      </c>
      <c r="AY210" s="15">
        <f>AI210+AQ210+AX210</f>
        <v>0</v>
      </c>
      <c r="AZ210" s="15">
        <f>SUM(AG210,AO210,AV210)</f>
        <v>0</v>
      </c>
      <c r="BA210" s="78" t="e">
        <f t="shared" si="208"/>
        <v>#DIV/0!</v>
      </c>
      <c r="BD210" s="1"/>
      <c r="BF210" s="15">
        <f t="shared" si="203"/>
        <v>0</v>
      </c>
      <c r="BG210" s="15">
        <f t="shared" si="178"/>
        <v>0</v>
      </c>
      <c r="BH210" s="15">
        <f t="shared" si="179"/>
        <v>0</v>
      </c>
      <c r="BN210" s="15">
        <f t="shared" si="204"/>
        <v>0</v>
      </c>
      <c r="BO210" s="15">
        <f t="shared" si="195"/>
        <v>0</v>
      </c>
      <c r="BP210" s="15">
        <f t="shared" si="180"/>
        <v>0</v>
      </c>
      <c r="BU210" s="15">
        <f t="shared" si="205"/>
        <v>0</v>
      </c>
      <c r="BV210" s="15">
        <f t="shared" si="181"/>
        <v>0</v>
      </c>
      <c r="BW210" s="15">
        <f t="shared" si="182"/>
        <v>0</v>
      </c>
      <c r="BX210" s="15">
        <f t="shared" si="196"/>
        <v>0</v>
      </c>
      <c r="BY210" s="15">
        <f t="shared" si="197"/>
        <v>0</v>
      </c>
      <c r="BZ210" s="1" t="e">
        <f t="shared" si="209"/>
        <v>#DIV/0!</v>
      </c>
      <c r="CA210" s="78"/>
      <c r="CG210" s="15">
        <f>COUNTIF(CB210:CF210,"PR")</f>
        <v>0</v>
      </c>
      <c r="CH210" s="15">
        <f>COUNTIF(CB210:CF210,"AB")</f>
        <v>0</v>
      </c>
      <c r="CI210" s="15">
        <f t="shared" si="183"/>
        <v>0</v>
      </c>
      <c r="CN210" s="15">
        <f>COUNTIF(CJ210:CM210,"PR")</f>
        <v>0</v>
      </c>
      <c r="CO210" s="15">
        <f>COUNTIF(CJ210:CM210,"AB")</f>
        <v>0</v>
      </c>
      <c r="CP210" s="15">
        <f t="shared" si="184"/>
        <v>0</v>
      </c>
      <c r="CU210" s="15">
        <f t="shared" si="206"/>
        <v>0</v>
      </c>
      <c r="CV210" s="15">
        <f t="shared" si="198"/>
        <v>0</v>
      </c>
      <c r="CW210" s="15">
        <f t="shared" si="199"/>
        <v>0</v>
      </c>
      <c r="CX210" s="15">
        <f>CG210+CN210+CU210</f>
        <v>0</v>
      </c>
      <c r="CY210" s="15" t="e">
        <f>SUM(CE210,#REF!,CS210)</f>
        <v>#REF!</v>
      </c>
      <c r="CZ210" s="1" t="e">
        <f t="shared" si="210"/>
        <v>#REF!</v>
      </c>
      <c r="DA210" s="78"/>
    </row>
    <row r="211" spans="1:105">
      <c r="A211" s="91"/>
      <c r="B211" s="14"/>
      <c r="H211" s="15">
        <f t="shared" si="191"/>
        <v>0</v>
      </c>
      <c r="I211" s="18">
        <f t="shared" si="187"/>
        <v>0</v>
      </c>
      <c r="J211" s="15">
        <f t="shared" si="188"/>
        <v>0</v>
      </c>
      <c r="O211" s="15">
        <f t="shared" si="200"/>
        <v>0</v>
      </c>
      <c r="P211" s="18">
        <f t="shared" si="189"/>
        <v>0</v>
      </c>
      <c r="Q211" s="15">
        <f t="shared" si="190"/>
        <v>0</v>
      </c>
      <c r="V211" s="15">
        <f t="shared" si="192"/>
        <v>0</v>
      </c>
      <c r="W211" s="15">
        <f t="shared" si="193"/>
        <v>0</v>
      </c>
      <c r="X211" s="15">
        <f t="shared" si="186"/>
        <v>0</v>
      </c>
      <c r="Y211" s="15">
        <f>J211+Q211+X211</f>
        <v>0</v>
      </c>
      <c r="Z211" s="15">
        <f>SUM(H211,O211,V211)</f>
        <v>0</v>
      </c>
      <c r="AA211" s="78" t="e">
        <f t="shared" si="207"/>
        <v>#DIV/0!</v>
      </c>
      <c r="AB211" s="78"/>
      <c r="AG211" s="15">
        <f t="shared" si="201"/>
        <v>0</v>
      </c>
      <c r="AH211" s="15">
        <f t="shared" si="174"/>
        <v>0</v>
      </c>
      <c r="AI211" s="15">
        <f t="shared" si="175"/>
        <v>0</v>
      </c>
      <c r="AO211" s="15">
        <f t="shared" si="202"/>
        <v>0</v>
      </c>
      <c r="AP211" s="15">
        <f t="shared" si="176"/>
        <v>0</v>
      </c>
      <c r="AQ211" s="15">
        <f t="shared" si="177"/>
        <v>0</v>
      </c>
      <c r="AV211" s="15">
        <f>COUNTIF(AR211:AU211,"PR")</f>
        <v>0</v>
      </c>
      <c r="AW211" s="15">
        <f t="shared" si="194"/>
        <v>0</v>
      </c>
      <c r="AX211" s="15">
        <f t="shared" si="185"/>
        <v>0</v>
      </c>
      <c r="AY211" s="15">
        <f>AI211+AQ211+AX211</f>
        <v>0</v>
      </c>
      <c r="AZ211" s="15">
        <f>SUM(AG211,AO211,AV211)</f>
        <v>0</v>
      </c>
      <c r="BA211" s="78" t="e">
        <f t="shared" si="208"/>
        <v>#DIV/0!</v>
      </c>
      <c r="BD211" s="1"/>
      <c r="BF211" s="15">
        <f t="shared" si="203"/>
        <v>0</v>
      </c>
      <c r="BG211" s="15">
        <f t="shared" si="178"/>
        <v>0</v>
      </c>
      <c r="BH211" s="15">
        <f t="shared" si="179"/>
        <v>0</v>
      </c>
      <c r="BN211" s="15">
        <f t="shared" si="204"/>
        <v>0</v>
      </c>
      <c r="BO211" s="15">
        <f t="shared" si="195"/>
        <v>0</v>
      </c>
      <c r="BP211" s="15">
        <f t="shared" si="180"/>
        <v>0</v>
      </c>
      <c r="BU211" s="15">
        <f t="shared" si="205"/>
        <v>0</v>
      </c>
      <c r="BV211" s="15">
        <f t="shared" si="181"/>
        <v>0</v>
      </c>
      <c r="BW211" s="15">
        <f t="shared" si="182"/>
        <v>0</v>
      </c>
      <c r="BX211" s="15">
        <f t="shared" si="196"/>
        <v>0</v>
      </c>
      <c r="BY211" s="15">
        <f t="shared" si="197"/>
        <v>0</v>
      </c>
      <c r="BZ211" s="1" t="e">
        <f t="shared" si="209"/>
        <v>#DIV/0!</v>
      </c>
      <c r="CA211" s="78"/>
      <c r="CG211" s="15">
        <f>COUNTIF(CB211:CF211,"PR")</f>
        <v>0</v>
      </c>
      <c r="CH211" s="15">
        <f>COUNTIF(CB211:CF211,"AB")</f>
        <v>0</v>
      </c>
      <c r="CI211" s="15">
        <f t="shared" si="183"/>
        <v>0</v>
      </c>
      <c r="CN211" s="15">
        <f>COUNTIF(CJ211:CM211,"PR")</f>
        <v>0</v>
      </c>
      <c r="CO211" s="15">
        <f>COUNTIF(CJ211:CM211,"AB")</f>
        <v>0</v>
      </c>
      <c r="CP211" s="15">
        <f t="shared" si="184"/>
        <v>0</v>
      </c>
      <c r="CU211" s="15">
        <f t="shared" si="206"/>
        <v>0</v>
      </c>
      <c r="CV211" s="15">
        <f t="shared" si="198"/>
        <v>0</v>
      </c>
      <c r="CW211" s="15">
        <f t="shared" si="199"/>
        <v>0</v>
      </c>
      <c r="CX211" s="15">
        <f>CG211+CN211+CU211</f>
        <v>0</v>
      </c>
      <c r="CY211" s="15" t="e">
        <f>SUM(CE211,#REF!,CS211)</f>
        <v>#REF!</v>
      </c>
      <c r="CZ211" s="1" t="e">
        <f t="shared" si="210"/>
        <v>#REF!</v>
      </c>
      <c r="DA211" s="78"/>
    </row>
    <row r="212" spans="1:105">
      <c r="A212" s="91"/>
      <c r="B212" s="14"/>
      <c r="H212" s="15">
        <f t="shared" si="191"/>
        <v>0</v>
      </c>
      <c r="I212" s="18">
        <f t="shared" si="187"/>
        <v>0</v>
      </c>
      <c r="J212" s="15">
        <f t="shared" si="188"/>
        <v>0</v>
      </c>
      <c r="O212" s="15">
        <f t="shared" si="200"/>
        <v>0</v>
      </c>
      <c r="P212" s="18">
        <f t="shared" si="189"/>
        <v>0</v>
      </c>
      <c r="Q212" s="15">
        <f t="shared" si="190"/>
        <v>0</v>
      </c>
      <c r="V212" s="15">
        <f t="shared" si="192"/>
        <v>0</v>
      </c>
      <c r="W212" s="15">
        <f t="shared" si="193"/>
        <v>0</v>
      </c>
      <c r="X212" s="15">
        <f t="shared" si="186"/>
        <v>0</v>
      </c>
      <c r="Y212" s="15">
        <f>J212+Q212+X212</f>
        <v>0</v>
      </c>
      <c r="Z212" s="15">
        <f>SUM(H212,O212,V212)</f>
        <v>0</v>
      </c>
      <c r="AA212" s="78" t="e">
        <f t="shared" si="207"/>
        <v>#DIV/0!</v>
      </c>
      <c r="AB212" s="78"/>
      <c r="AG212" s="15">
        <f t="shared" si="201"/>
        <v>0</v>
      </c>
      <c r="AH212" s="15">
        <f t="shared" si="174"/>
        <v>0</v>
      </c>
      <c r="AI212" s="15">
        <f t="shared" si="175"/>
        <v>0</v>
      </c>
      <c r="AO212" s="15">
        <f t="shared" si="202"/>
        <v>0</v>
      </c>
      <c r="AP212" s="15">
        <f t="shared" si="176"/>
        <v>0</v>
      </c>
      <c r="AQ212" s="15">
        <f t="shared" si="177"/>
        <v>0</v>
      </c>
      <c r="AV212" s="15">
        <f>COUNTIF(AR212:AU212,"PR")</f>
        <v>0</v>
      </c>
      <c r="AW212" s="15">
        <f t="shared" si="194"/>
        <v>0</v>
      </c>
      <c r="AX212" s="15">
        <f t="shared" si="185"/>
        <v>0</v>
      </c>
      <c r="AY212" s="15">
        <f>AI212+AQ212+AX212</f>
        <v>0</v>
      </c>
      <c r="AZ212" s="15">
        <f>SUM(AG212,AO212,AV212)</f>
        <v>0</v>
      </c>
      <c r="BA212" s="78" t="e">
        <f t="shared" si="208"/>
        <v>#DIV/0!</v>
      </c>
      <c r="BD212" s="1"/>
      <c r="BF212" s="15">
        <f t="shared" si="203"/>
        <v>0</v>
      </c>
      <c r="BG212" s="15">
        <f t="shared" si="178"/>
        <v>0</v>
      </c>
      <c r="BH212" s="15">
        <f t="shared" si="179"/>
        <v>0</v>
      </c>
      <c r="BN212" s="15">
        <f t="shared" si="204"/>
        <v>0</v>
      </c>
      <c r="BO212" s="15">
        <f t="shared" si="195"/>
        <v>0</v>
      </c>
      <c r="BP212" s="15">
        <f t="shared" si="180"/>
        <v>0</v>
      </c>
      <c r="BU212" s="15">
        <f t="shared" si="205"/>
        <v>0</v>
      </c>
      <c r="BV212" s="15">
        <f t="shared" si="181"/>
        <v>0</v>
      </c>
      <c r="BW212" s="15">
        <f t="shared" si="182"/>
        <v>0</v>
      </c>
      <c r="BX212" s="15">
        <f t="shared" si="196"/>
        <v>0</v>
      </c>
      <c r="BY212" s="15">
        <f t="shared" si="197"/>
        <v>0</v>
      </c>
      <c r="BZ212" s="1" t="e">
        <f t="shared" si="209"/>
        <v>#DIV/0!</v>
      </c>
      <c r="CA212" s="78"/>
      <c r="CG212" s="15">
        <f>COUNTIF(CB212:CF212,"PR")</f>
        <v>0</v>
      </c>
      <c r="CH212" s="15">
        <f>COUNTIF(CB212:CF212,"AB")</f>
        <v>0</v>
      </c>
      <c r="CI212" s="15">
        <f t="shared" si="183"/>
        <v>0</v>
      </c>
      <c r="CN212" s="15">
        <f>COUNTIF(CJ212:CM212,"PR")</f>
        <v>0</v>
      </c>
      <c r="CO212" s="15">
        <f>COUNTIF(CJ212:CM212,"AB")</f>
        <v>0</v>
      </c>
      <c r="CP212" s="15">
        <f t="shared" si="184"/>
        <v>0</v>
      </c>
      <c r="CU212" s="15">
        <f t="shared" si="206"/>
        <v>0</v>
      </c>
      <c r="CV212" s="15">
        <f t="shared" si="198"/>
        <v>0</v>
      </c>
      <c r="CW212" s="15">
        <f t="shared" si="199"/>
        <v>0</v>
      </c>
      <c r="CX212" s="15">
        <f>CG212+CN212+CU212</f>
        <v>0</v>
      </c>
      <c r="CY212" s="15" t="e">
        <f>SUM(CE212,#REF!,CS212)</f>
        <v>#REF!</v>
      </c>
      <c r="CZ212" s="1" t="e">
        <f t="shared" si="210"/>
        <v>#REF!</v>
      </c>
      <c r="DA212" s="78"/>
    </row>
    <row r="213" spans="1:105">
      <c r="A213" s="91"/>
      <c r="B213" s="14"/>
      <c r="H213" s="15">
        <f t="shared" si="191"/>
        <v>0</v>
      </c>
      <c r="I213" s="18">
        <f t="shared" si="187"/>
        <v>0</v>
      </c>
      <c r="J213" s="15">
        <f t="shared" si="188"/>
        <v>0</v>
      </c>
      <c r="O213" s="15">
        <f t="shared" si="200"/>
        <v>0</v>
      </c>
      <c r="P213" s="18">
        <f t="shared" si="189"/>
        <v>0</v>
      </c>
      <c r="Q213" s="15">
        <f t="shared" si="190"/>
        <v>0</v>
      </c>
      <c r="V213" s="15">
        <f t="shared" si="192"/>
        <v>0</v>
      </c>
      <c r="W213" s="15">
        <f t="shared" si="193"/>
        <v>0</v>
      </c>
      <c r="X213" s="15">
        <f t="shared" si="186"/>
        <v>0</v>
      </c>
      <c r="Y213" s="15">
        <f>J213+Q213+X213</f>
        <v>0</v>
      </c>
      <c r="Z213" s="15">
        <f>SUM(H213,O213,V213)</f>
        <v>0</v>
      </c>
      <c r="AA213" s="78" t="e">
        <f t="shared" si="207"/>
        <v>#DIV/0!</v>
      </c>
      <c r="AB213" s="78"/>
      <c r="AG213" s="15">
        <f t="shared" si="201"/>
        <v>0</v>
      </c>
      <c r="AH213" s="15">
        <f t="shared" si="174"/>
        <v>0</v>
      </c>
      <c r="AI213" s="15">
        <f t="shared" si="175"/>
        <v>0</v>
      </c>
      <c r="AO213" s="15">
        <f t="shared" si="202"/>
        <v>0</v>
      </c>
      <c r="AP213" s="15">
        <f t="shared" si="176"/>
        <v>0</v>
      </c>
      <c r="AQ213" s="15">
        <f t="shared" si="177"/>
        <v>0</v>
      </c>
      <c r="AV213" s="15">
        <f>COUNTIF(AR213:AU213,"PR")</f>
        <v>0</v>
      </c>
      <c r="AW213" s="15">
        <f t="shared" si="194"/>
        <v>0</v>
      </c>
      <c r="AX213" s="15">
        <f t="shared" si="185"/>
        <v>0</v>
      </c>
      <c r="AY213" s="15">
        <f>AI213+AQ213+AX213</f>
        <v>0</v>
      </c>
      <c r="AZ213" s="15">
        <f>SUM(AG213,AO213,AV213)</f>
        <v>0</v>
      </c>
      <c r="BA213" s="78" t="e">
        <f t="shared" si="208"/>
        <v>#DIV/0!</v>
      </c>
      <c r="BD213" s="1"/>
      <c r="BF213" s="15">
        <f t="shared" si="203"/>
        <v>0</v>
      </c>
      <c r="BG213" s="15">
        <f t="shared" si="178"/>
        <v>0</v>
      </c>
      <c r="BH213" s="15">
        <f t="shared" si="179"/>
        <v>0</v>
      </c>
      <c r="BN213" s="15">
        <f t="shared" si="204"/>
        <v>0</v>
      </c>
      <c r="BO213" s="15">
        <f t="shared" si="195"/>
        <v>0</v>
      </c>
      <c r="BP213" s="15">
        <f t="shared" si="180"/>
        <v>0</v>
      </c>
      <c r="BU213" s="15">
        <f t="shared" si="205"/>
        <v>0</v>
      </c>
      <c r="BV213" s="15">
        <f t="shared" si="181"/>
        <v>0</v>
      </c>
      <c r="BW213" s="15">
        <f t="shared" si="182"/>
        <v>0</v>
      </c>
      <c r="BX213" s="15">
        <f t="shared" si="196"/>
        <v>0</v>
      </c>
      <c r="BY213" s="15">
        <f t="shared" si="197"/>
        <v>0</v>
      </c>
      <c r="BZ213" s="1" t="e">
        <f t="shared" si="209"/>
        <v>#DIV/0!</v>
      </c>
      <c r="CA213" s="78"/>
      <c r="CG213" s="15">
        <f>COUNTIF(CB213:CF213,"PR")</f>
        <v>0</v>
      </c>
      <c r="CH213" s="15">
        <f>COUNTIF(CB213:CF213,"AB")</f>
        <v>0</v>
      </c>
      <c r="CI213" s="15">
        <f t="shared" si="183"/>
        <v>0</v>
      </c>
      <c r="CN213" s="15">
        <f>COUNTIF(CJ213:CM213,"PR")</f>
        <v>0</v>
      </c>
      <c r="CO213" s="15">
        <f>COUNTIF(CJ213:CM213,"AB")</f>
        <v>0</v>
      </c>
      <c r="CP213" s="15">
        <f t="shared" si="184"/>
        <v>0</v>
      </c>
      <c r="CU213" s="15">
        <f t="shared" si="206"/>
        <v>0</v>
      </c>
      <c r="CV213" s="15">
        <f t="shared" si="198"/>
        <v>0</v>
      </c>
      <c r="CW213" s="15">
        <f t="shared" si="199"/>
        <v>0</v>
      </c>
      <c r="CX213" s="15">
        <f>CG213+CN213+CU213</f>
        <v>0</v>
      </c>
      <c r="CY213" s="15" t="e">
        <f>SUM(CE213,#REF!,CS213)</f>
        <v>#REF!</v>
      </c>
      <c r="CZ213" s="1" t="e">
        <f t="shared" si="210"/>
        <v>#REF!</v>
      </c>
      <c r="DA213" s="78"/>
    </row>
    <row r="214" spans="1:105">
      <c r="A214" s="91"/>
      <c r="B214" s="14"/>
      <c r="H214" s="15">
        <f t="shared" si="191"/>
        <v>0</v>
      </c>
      <c r="I214" s="18">
        <f t="shared" si="187"/>
        <v>0</v>
      </c>
      <c r="J214" s="15">
        <f t="shared" si="188"/>
        <v>0</v>
      </c>
      <c r="O214" s="15">
        <f t="shared" si="200"/>
        <v>0</v>
      </c>
      <c r="P214" s="18">
        <f t="shared" si="189"/>
        <v>0</v>
      </c>
      <c r="Q214" s="15">
        <f t="shared" si="190"/>
        <v>0</v>
      </c>
      <c r="V214" s="15">
        <f t="shared" si="192"/>
        <v>0</v>
      </c>
      <c r="W214" s="15">
        <f t="shared" si="193"/>
        <v>0</v>
      </c>
      <c r="X214" s="15">
        <f t="shared" si="186"/>
        <v>0</v>
      </c>
      <c r="Y214" s="15">
        <f>J214+Q214+X214</f>
        <v>0</v>
      </c>
      <c r="Z214" s="15">
        <f>SUM(H214,O214,V214)</f>
        <v>0</v>
      </c>
      <c r="AA214" s="78" t="e">
        <f t="shared" si="207"/>
        <v>#DIV/0!</v>
      </c>
      <c r="AB214" s="78"/>
      <c r="AG214" s="15">
        <f t="shared" si="201"/>
        <v>0</v>
      </c>
      <c r="AH214" s="15">
        <f t="shared" si="174"/>
        <v>0</v>
      </c>
      <c r="AI214" s="15">
        <f t="shared" si="175"/>
        <v>0</v>
      </c>
      <c r="AO214" s="15">
        <f t="shared" si="202"/>
        <v>0</v>
      </c>
      <c r="AP214" s="15">
        <f t="shared" si="176"/>
        <v>0</v>
      </c>
      <c r="AQ214" s="15">
        <f t="shared" si="177"/>
        <v>0</v>
      </c>
      <c r="AV214" s="15">
        <f>COUNTIF(AR214:AU214,"PR")</f>
        <v>0</v>
      </c>
      <c r="AW214" s="15">
        <f t="shared" si="194"/>
        <v>0</v>
      </c>
      <c r="AX214" s="15">
        <f t="shared" si="185"/>
        <v>0</v>
      </c>
      <c r="AY214" s="15">
        <f>AI214+AQ214+AX214</f>
        <v>0</v>
      </c>
      <c r="AZ214" s="15">
        <f>SUM(AG214,AO214,AV214)</f>
        <v>0</v>
      </c>
      <c r="BA214" s="78" t="e">
        <f t="shared" si="208"/>
        <v>#DIV/0!</v>
      </c>
      <c r="BD214" s="1"/>
      <c r="BF214" s="15">
        <f t="shared" si="203"/>
        <v>0</v>
      </c>
      <c r="BG214" s="15">
        <f t="shared" si="178"/>
        <v>0</v>
      </c>
      <c r="BH214" s="15">
        <f t="shared" si="179"/>
        <v>0</v>
      </c>
      <c r="BN214" s="15">
        <f t="shared" si="204"/>
        <v>0</v>
      </c>
      <c r="BO214" s="15">
        <f t="shared" si="195"/>
        <v>0</v>
      </c>
      <c r="BP214" s="15">
        <f t="shared" si="180"/>
        <v>0</v>
      </c>
      <c r="BU214" s="15">
        <f t="shared" si="205"/>
        <v>0</v>
      </c>
      <c r="BV214" s="15">
        <f t="shared" si="181"/>
        <v>0</v>
      </c>
      <c r="BW214" s="15">
        <f t="shared" si="182"/>
        <v>0</v>
      </c>
      <c r="BX214" s="15">
        <f t="shared" si="196"/>
        <v>0</v>
      </c>
      <c r="BY214" s="15">
        <f t="shared" si="197"/>
        <v>0</v>
      </c>
      <c r="BZ214" s="1" t="e">
        <f t="shared" si="209"/>
        <v>#DIV/0!</v>
      </c>
      <c r="CA214" s="78"/>
      <c r="CG214" s="15">
        <f>COUNTIF(CB214:CF214,"PR")</f>
        <v>0</v>
      </c>
      <c r="CH214" s="15">
        <f>COUNTIF(CB214:CF214,"AB")</f>
        <v>0</v>
      </c>
      <c r="CI214" s="15">
        <f t="shared" si="183"/>
        <v>0</v>
      </c>
      <c r="CN214" s="15">
        <f>COUNTIF(CJ214:CM214,"PR")</f>
        <v>0</v>
      </c>
      <c r="CO214" s="15">
        <f>COUNTIF(CJ214:CM214,"AB")</f>
        <v>0</v>
      </c>
      <c r="CP214" s="15">
        <f t="shared" si="184"/>
        <v>0</v>
      </c>
      <c r="CU214" s="15">
        <f t="shared" si="206"/>
        <v>0</v>
      </c>
      <c r="CV214" s="15">
        <f t="shared" si="198"/>
        <v>0</v>
      </c>
      <c r="CW214" s="15">
        <f t="shared" si="199"/>
        <v>0</v>
      </c>
      <c r="CX214" s="15">
        <f>CG214+CN214+CU214</f>
        <v>0</v>
      </c>
      <c r="CY214" s="15" t="e">
        <f>SUM(CE214,#REF!,CS214)</f>
        <v>#REF!</v>
      </c>
      <c r="CZ214" s="1" t="e">
        <f t="shared" si="210"/>
        <v>#REF!</v>
      </c>
      <c r="DA214" s="78"/>
    </row>
    <row r="215" spans="1:105">
      <c r="A215" s="91"/>
      <c r="B215" s="14"/>
      <c r="H215" s="15">
        <f t="shared" si="191"/>
        <v>0</v>
      </c>
      <c r="I215" s="18">
        <f t="shared" si="187"/>
        <v>0</v>
      </c>
      <c r="J215" s="15">
        <f t="shared" si="188"/>
        <v>0</v>
      </c>
      <c r="O215" s="15">
        <f t="shared" si="200"/>
        <v>0</v>
      </c>
      <c r="P215" s="18">
        <f t="shared" si="189"/>
        <v>0</v>
      </c>
      <c r="Q215" s="15">
        <f t="shared" si="190"/>
        <v>0</v>
      </c>
      <c r="V215" s="15">
        <f t="shared" si="192"/>
        <v>0</v>
      </c>
      <c r="W215" s="15">
        <f t="shared" si="193"/>
        <v>0</v>
      </c>
      <c r="X215" s="15">
        <f t="shared" si="186"/>
        <v>0</v>
      </c>
      <c r="Y215" s="15">
        <f>J215+Q215+X215</f>
        <v>0</v>
      </c>
      <c r="Z215" s="15">
        <f>SUM(H215,O215,V215)</f>
        <v>0</v>
      </c>
      <c r="AA215" s="78" t="e">
        <f t="shared" si="207"/>
        <v>#DIV/0!</v>
      </c>
      <c r="AB215" s="78"/>
      <c r="AG215" s="15">
        <f t="shared" si="201"/>
        <v>0</v>
      </c>
      <c r="AH215" s="15">
        <f t="shared" si="174"/>
        <v>0</v>
      </c>
      <c r="AI215" s="15">
        <f t="shared" si="175"/>
        <v>0</v>
      </c>
      <c r="AO215" s="15">
        <f t="shared" si="202"/>
        <v>0</v>
      </c>
      <c r="AP215" s="15">
        <f t="shared" si="176"/>
        <v>0</v>
      </c>
      <c r="AQ215" s="15">
        <f t="shared" si="177"/>
        <v>0</v>
      </c>
      <c r="AV215" s="15">
        <f>COUNTIF(AR215:AU215,"PR")</f>
        <v>0</v>
      </c>
      <c r="AW215" s="15">
        <f t="shared" si="194"/>
        <v>0</v>
      </c>
      <c r="AX215" s="15">
        <f t="shared" si="185"/>
        <v>0</v>
      </c>
      <c r="AY215" s="15">
        <f>AI215+AQ215+AX215</f>
        <v>0</v>
      </c>
      <c r="AZ215" s="15">
        <f>SUM(AG215,AO215,AV215)</f>
        <v>0</v>
      </c>
      <c r="BA215" s="78" t="e">
        <f t="shared" si="208"/>
        <v>#DIV/0!</v>
      </c>
      <c r="BD215" s="1"/>
      <c r="BF215" s="15">
        <f t="shared" si="203"/>
        <v>0</v>
      </c>
      <c r="BG215" s="15">
        <f t="shared" si="178"/>
        <v>0</v>
      </c>
      <c r="BH215" s="15">
        <f t="shared" si="179"/>
        <v>0</v>
      </c>
      <c r="BN215" s="15">
        <f t="shared" si="204"/>
        <v>0</v>
      </c>
      <c r="BO215" s="15">
        <f t="shared" si="195"/>
        <v>0</v>
      </c>
      <c r="BP215" s="15">
        <f t="shared" si="180"/>
        <v>0</v>
      </c>
      <c r="BU215" s="15">
        <f t="shared" si="205"/>
        <v>0</v>
      </c>
      <c r="BV215" s="15">
        <f t="shared" si="181"/>
        <v>0</v>
      </c>
      <c r="BW215" s="15">
        <f t="shared" si="182"/>
        <v>0</v>
      </c>
      <c r="BX215" s="15">
        <f t="shared" si="196"/>
        <v>0</v>
      </c>
      <c r="BY215" s="15">
        <f t="shared" si="197"/>
        <v>0</v>
      </c>
      <c r="BZ215" s="1" t="e">
        <f t="shared" si="209"/>
        <v>#DIV/0!</v>
      </c>
      <c r="CA215" s="78"/>
      <c r="CG215" s="15">
        <f>COUNTIF(CB215:CF215,"PR")</f>
        <v>0</v>
      </c>
      <c r="CH215" s="15">
        <f>COUNTIF(CB215:CF215,"AB")</f>
        <v>0</v>
      </c>
      <c r="CI215" s="15">
        <f t="shared" si="183"/>
        <v>0</v>
      </c>
      <c r="CN215" s="15">
        <f>COUNTIF(CJ215:CM215,"PR")</f>
        <v>0</v>
      </c>
      <c r="CO215" s="15">
        <f>COUNTIF(CJ215:CM215,"AB")</f>
        <v>0</v>
      </c>
      <c r="CP215" s="15">
        <f t="shared" si="184"/>
        <v>0</v>
      </c>
      <c r="CU215" s="15">
        <f t="shared" si="206"/>
        <v>0</v>
      </c>
      <c r="CV215" s="15">
        <f t="shared" si="198"/>
        <v>0</v>
      </c>
      <c r="CW215" s="15">
        <f t="shared" si="199"/>
        <v>0</v>
      </c>
      <c r="CX215" s="15">
        <f>CG215+CN215+CU215</f>
        <v>0</v>
      </c>
      <c r="CY215" s="15" t="e">
        <f>SUM(CE215,#REF!,CS215)</f>
        <v>#REF!</v>
      </c>
      <c r="CZ215" s="1" t="e">
        <f t="shared" si="210"/>
        <v>#REF!</v>
      </c>
      <c r="DA215" s="78"/>
    </row>
    <row r="216" spans="1:105">
      <c r="A216" s="91"/>
      <c r="B216" s="14"/>
      <c r="H216" s="15">
        <f t="shared" si="191"/>
        <v>0</v>
      </c>
      <c r="I216" s="18">
        <f t="shared" si="187"/>
        <v>0</v>
      </c>
      <c r="J216" s="15">
        <f t="shared" si="188"/>
        <v>0</v>
      </c>
      <c r="O216" s="15">
        <f t="shared" si="200"/>
        <v>0</v>
      </c>
      <c r="P216" s="18">
        <f t="shared" si="189"/>
        <v>0</v>
      </c>
      <c r="Q216" s="15">
        <f t="shared" si="190"/>
        <v>0</v>
      </c>
      <c r="V216" s="15">
        <f t="shared" si="192"/>
        <v>0</v>
      </c>
      <c r="W216" s="15">
        <f t="shared" si="193"/>
        <v>0</v>
      </c>
      <c r="X216" s="15">
        <f t="shared" si="186"/>
        <v>0</v>
      </c>
      <c r="Y216" s="15">
        <f>J216+Q216+X216</f>
        <v>0</v>
      </c>
      <c r="Z216" s="15">
        <f>SUM(H216,O216,V216)</f>
        <v>0</v>
      </c>
      <c r="AA216" s="78" t="e">
        <f t="shared" si="207"/>
        <v>#DIV/0!</v>
      </c>
      <c r="AB216" s="78"/>
      <c r="AG216" s="15">
        <f t="shared" si="201"/>
        <v>0</v>
      </c>
      <c r="AH216" s="15">
        <f t="shared" si="174"/>
        <v>0</v>
      </c>
      <c r="AI216" s="15">
        <f t="shared" si="175"/>
        <v>0</v>
      </c>
      <c r="AO216" s="15">
        <f t="shared" si="202"/>
        <v>0</v>
      </c>
      <c r="AP216" s="15">
        <f t="shared" si="176"/>
        <v>0</v>
      </c>
      <c r="AQ216" s="15">
        <f t="shared" si="177"/>
        <v>0</v>
      </c>
      <c r="AV216" s="15">
        <f>COUNTIF(AR216:AU216,"PR")</f>
        <v>0</v>
      </c>
      <c r="AW216" s="15">
        <f t="shared" si="194"/>
        <v>0</v>
      </c>
      <c r="AX216" s="15">
        <f t="shared" si="185"/>
        <v>0</v>
      </c>
      <c r="AY216" s="15">
        <f>AI216+AQ216+AX216</f>
        <v>0</v>
      </c>
      <c r="AZ216" s="15">
        <f>SUM(AG216,AO216,AV216)</f>
        <v>0</v>
      </c>
      <c r="BA216" s="78" t="e">
        <f t="shared" si="208"/>
        <v>#DIV/0!</v>
      </c>
      <c r="BD216" s="1"/>
      <c r="BF216" s="15">
        <f t="shared" si="203"/>
        <v>0</v>
      </c>
      <c r="BG216" s="15">
        <f t="shared" si="178"/>
        <v>0</v>
      </c>
      <c r="BH216" s="15">
        <f t="shared" si="179"/>
        <v>0</v>
      </c>
      <c r="BN216" s="15">
        <f t="shared" si="204"/>
        <v>0</v>
      </c>
      <c r="BO216" s="15">
        <f t="shared" si="195"/>
        <v>0</v>
      </c>
      <c r="BP216" s="15">
        <f t="shared" si="180"/>
        <v>0</v>
      </c>
      <c r="BU216" s="15">
        <f t="shared" si="205"/>
        <v>0</v>
      </c>
      <c r="BV216" s="15">
        <f t="shared" si="181"/>
        <v>0</v>
      </c>
      <c r="BW216" s="15">
        <f t="shared" si="182"/>
        <v>0</v>
      </c>
      <c r="BX216" s="15">
        <f t="shared" si="196"/>
        <v>0</v>
      </c>
      <c r="BY216" s="15">
        <f t="shared" si="197"/>
        <v>0</v>
      </c>
      <c r="BZ216" s="1" t="e">
        <f t="shared" si="209"/>
        <v>#DIV/0!</v>
      </c>
      <c r="CA216" s="78"/>
      <c r="CG216" s="15">
        <f>COUNTIF(CB216:CF216,"PR")</f>
        <v>0</v>
      </c>
      <c r="CH216" s="15">
        <f>COUNTIF(CB216:CF216,"AB")</f>
        <v>0</v>
      </c>
      <c r="CI216" s="15">
        <f t="shared" si="183"/>
        <v>0</v>
      </c>
      <c r="CN216" s="15">
        <f>COUNTIF(CJ216:CM216,"PR")</f>
        <v>0</v>
      </c>
      <c r="CO216" s="15">
        <f>COUNTIF(CJ216:CM216,"AB")</f>
        <v>0</v>
      </c>
      <c r="CP216" s="15">
        <f t="shared" si="184"/>
        <v>0</v>
      </c>
      <c r="CU216" s="15">
        <f t="shared" si="206"/>
        <v>0</v>
      </c>
      <c r="CV216" s="15">
        <f t="shared" si="198"/>
        <v>0</v>
      </c>
      <c r="CW216" s="15">
        <f t="shared" si="199"/>
        <v>0</v>
      </c>
      <c r="CX216" s="15">
        <f>CG216+CN216+CU216</f>
        <v>0</v>
      </c>
      <c r="CY216" s="15" t="e">
        <f>SUM(CE216,#REF!,CS216)</f>
        <v>#REF!</v>
      </c>
      <c r="CZ216" s="1" t="e">
        <f t="shared" si="210"/>
        <v>#REF!</v>
      </c>
      <c r="DA216" s="78"/>
    </row>
    <row r="217" spans="1:105">
      <c r="A217" s="91"/>
      <c r="B217" s="14"/>
      <c r="H217" s="15">
        <f t="shared" si="191"/>
        <v>0</v>
      </c>
      <c r="I217" s="18">
        <f t="shared" si="187"/>
        <v>0</v>
      </c>
      <c r="J217" s="15">
        <f t="shared" si="188"/>
        <v>0</v>
      </c>
      <c r="O217" s="15">
        <f t="shared" si="200"/>
        <v>0</v>
      </c>
      <c r="P217" s="18">
        <f t="shared" si="189"/>
        <v>0</v>
      </c>
      <c r="Q217" s="15">
        <f t="shared" si="190"/>
        <v>0</v>
      </c>
      <c r="V217" s="15">
        <f t="shared" si="192"/>
        <v>0</v>
      </c>
      <c r="W217" s="15">
        <f t="shared" si="193"/>
        <v>0</v>
      </c>
      <c r="X217" s="15">
        <f t="shared" si="186"/>
        <v>0</v>
      </c>
      <c r="Y217" s="15">
        <f>J217+Q217+X217</f>
        <v>0</v>
      </c>
      <c r="Z217" s="15">
        <f>SUM(H217,O217,V217)</f>
        <v>0</v>
      </c>
      <c r="AA217" s="78" t="e">
        <f t="shared" si="207"/>
        <v>#DIV/0!</v>
      </c>
      <c r="AB217" s="78"/>
      <c r="AC217" s="76"/>
      <c r="AD217" s="72"/>
      <c r="AE217" s="72"/>
      <c r="AF217" s="72"/>
      <c r="AG217" s="15">
        <f t="shared" si="201"/>
        <v>0</v>
      </c>
      <c r="AH217" s="15">
        <f t="shared" si="174"/>
        <v>0</v>
      </c>
      <c r="AI217" s="15">
        <f t="shared" si="175"/>
        <v>0</v>
      </c>
      <c r="AJ217" s="76"/>
      <c r="AK217" s="72"/>
      <c r="AL217" s="72"/>
      <c r="AM217" s="72"/>
      <c r="AO217" s="15">
        <f t="shared" si="202"/>
        <v>0</v>
      </c>
      <c r="AP217" s="15">
        <f t="shared" si="176"/>
        <v>0</v>
      </c>
      <c r="AQ217" s="15">
        <f t="shared" si="177"/>
        <v>0</v>
      </c>
      <c r="AV217" s="15">
        <f>COUNTIF(AR217:AU217,"PR")</f>
        <v>0</v>
      </c>
      <c r="AW217" s="15">
        <f t="shared" si="194"/>
        <v>0</v>
      </c>
      <c r="AX217" s="15">
        <f t="shared" si="185"/>
        <v>0</v>
      </c>
      <c r="AY217" s="15">
        <f>AI217+AQ217+AX217</f>
        <v>0</v>
      </c>
      <c r="AZ217" s="15">
        <f>SUM(AG217,AO217,AV217)</f>
        <v>0</v>
      </c>
      <c r="BA217" s="78" t="e">
        <f t="shared" si="208"/>
        <v>#DIV/0!</v>
      </c>
      <c r="BD217" s="1"/>
      <c r="BF217" s="15">
        <f t="shared" si="203"/>
        <v>0</v>
      </c>
      <c r="BG217" s="15">
        <f t="shared" si="178"/>
        <v>0</v>
      </c>
      <c r="BH217" s="15">
        <f t="shared" si="179"/>
        <v>0</v>
      </c>
      <c r="BN217" s="15">
        <f t="shared" si="204"/>
        <v>0</v>
      </c>
      <c r="BO217" s="15">
        <f t="shared" si="195"/>
        <v>0</v>
      </c>
      <c r="BP217" s="15">
        <f t="shared" si="180"/>
        <v>0</v>
      </c>
      <c r="BU217" s="15">
        <f t="shared" si="205"/>
        <v>0</v>
      </c>
      <c r="BV217" s="15">
        <f t="shared" si="181"/>
        <v>0</v>
      </c>
      <c r="BW217" s="15">
        <f t="shared" si="182"/>
        <v>0</v>
      </c>
      <c r="BX217" s="15">
        <f t="shared" si="196"/>
        <v>0</v>
      </c>
      <c r="BY217" s="15">
        <f t="shared" si="197"/>
        <v>0</v>
      </c>
      <c r="BZ217" s="1" t="e">
        <f t="shared" si="209"/>
        <v>#DIV/0!</v>
      </c>
      <c r="CA217" s="78"/>
      <c r="CG217" s="15">
        <f>COUNTIF(CB217:CF217,"PR")</f>
        <v>0</v>
      </c>
      <c r="CH217" s="15">
        <f>COUNTIF(CB217:CF217,"AB")</f>
        <v>0</v>
      </c>
      <c r="CI217" s="15">
        <f t="shared" si="183"/>
        <v>0</v>
      </c>
      <c r="CN217" s="15">
        <f>COUNTIF(CJ217:CM217,"PR")</f>
        <v>0</v>
      </c>
      <c r="CO217" s="15">
        <f>COUNTIF(CJ217:CM217,"AB")</f>
        <v>0</v>
      </c>
      <c r="CP217" s="15">
        <f t="shared" si="184"/>
        <v>0</v>
      </c>
      <c r="CU217" s="15">
        <f t="shared" si="206"/>
        <v>0</v>
      </c>
      <c r="CV217" s="15">
        <f t="shared" si="198"/>
        <v>0</v>
      </c>
      <c r="CW217" s="15">
        <f t="shared" si="199"/>
        <v>0</v>
      </c>
      <c r="CX217" s="15">
        <f>CG217+CN217+CU217</f>
        <v>0</v>
      </c>
      <c r="CY217" s="15" t="e">
        <f>SUM(CE217,#REF!,CS217)</f>
        <v>#REF!</v>
      </c>
      <c r="CZ217" s="1" t="e">
        <f t="shared" si="210"/>
        <v>#REF!</v>
      </c>
      <c r="DA217" s="78"/>
    </row>
    <row r="218" spans="1:105">
      <c r="A218" s="91"/>
      <c r="B218" s="14"/>
      <c r="H218" s="15">
        <f t="shared" si="191"/>
        <v>0</v>
      </c>
      <c r="I218" s="18">
        <f t="shared" si="187"/>
        <v>0</v>
      </c>
      <c r="J218" s="15">
        <f t="shared" si="188"/>
        <v>0</v>
      </c>
      <c r="O218" s="15">
        <f t="shared" si="200"/>
        <v>0</v>
      </c>
      <c r="P218" s="18">
        <f t="shared" si="189"/>
        <v>0</v>
      </c>
      <c r="Q218" s="15">
        <f t="shared" si="190"/>
        <v>0</v>
      </c>
      <c r="V218" s="15">
        <f t="shared" si="192"/>
        <v>0</v>
      </c>
      <c r="W218" s="15">
        <f t="shared" si="193"/>
        <v>0</v>
      </c>
      <c r="X218" s="15">
        <f t="shared" si="186"/>
        <v>0</v>
      </c>
      <c r="Y218" s="15">
        <f>J218+Q218+X218</f>
        <v>0</v>
      </c>
      <c r="Z218" s="15">
        <f>SUM(H218,O218,V218)</f>
        <v>0</v>
      </c>
      <c r="AA218" s="78" t="e">
        <f t="shared" si="207"/>
        <v>#DIV/0!</v>
      </c>
      <c r="AB218" s="78"/>
      <c r="AG218" s="15">
        <f t="shared" si="201"/>
        <v>0</v>
      </c>
      <c r="AH218" s="15">
        <f t="shared" si="174"/>
        <v>0</v>
      </c>
      <c r="AI218" s="15">
        <f t="shared" si="175"/>
        <v>0</v>
      </c>
      <c r="AO218" s="15">
        <f t="shared" si="202"/>
        <v>0</v>
      </c>
      <c r="AP218" s="15">
        <f t="shared" si="176"/>
        <v>0</v>
      </c>
      <c r="AQ218" s="15">
        <f t="shared" si="177"/>
        <v>0</v>
      </c>
      <c r="AV218" s="15">
        <f>COUNTIF(AR218:AU218,"PR")</f>
        <v>0</v>
      </c>
      <c r="AW218" s="15">
        <f t="shared" si="194"/>
        <v>0</v>
      </c>
      <c r="AX218" s="15">
        <f t="shared" si="185"/>
        <v>0</v>
      </c>
      <c r="AY218" s="15">
        <f>AI218+AQ218+AX218</f>
        <v>0</v>
      </c>
      <c r="AZ218" s="15">
        <f>SUM(AG218,AO218,AV218)</f>
        <v>0</v>
      </c>
      <c r="BA218" s="78" t="e">
        <f t="shared" si="208"/>
        <v>#DIV/0!</v>
      </c>
      <c r="BD218" s="1"/>
      <c r="BF218" s="15">
        <f t="shared" si="203"/>
        <v>0</v>
      </c>
      <c r="BG218" s="15">
        <f t="shared" si="178"/>
        <v>0</v>
      </c>
      <c r="BH218" s="15">
        <f t="shared" si="179"/>
        <v>0</v>
      </c>
      <c r="BN218" s="15">
        <f t="shared" si="204"/>
        <v>0</v>
      </c>
      <c r="BO218" s="15">
        <f t="shared" si="195"/>
        <v>0</v>
      </c>
      <c r="BP218" s="15">
        <f t="shared" si="180"/>
        <v>0</v>
      </c>
      <c r="BU218" s="15">
        <f t="shared" si="205"/>
        <v>0</v>
      </c>
      <c r="BV218" s="15">
        <f t="shared" si="181"/>
        <v>0</v>
      </c>
      <c r="BW218" s="15">
        <f t="shared" si="182"/>
        <v>0</v>
      </c>
      <c r="BX218" s="15">
        <f t="shared" si="196"/>
        <v>0</v>
      </c>
      <c r="BY218" s="15">
        <f t="shared" si="197"/>
        <v>0</v>
      </c>
      <c r="BZ218" s="1" t="e">
        <f t="shared" si="209"/>
        <v>#DIV/0!</v>
      </c>
      <c r="CA218" s="78"/>
      <c r="CG218" s="15">
        <f>COUNTIF(CB218:CF218,"PR")</f>
        <v>0</v>
      </c>
      <c r="CH218" s="15">
        <f>COUNTIF(CB218:CF218,"AB")</f>
        <v>0</v>
      </c>
      <c r="CI218" s="15">
        <f t="shared" si="183"/>
        <v>0</v>
      </c>
      <c r="CN218" s="15">
        <f>COUNTIF(CJ218:CM218,"PR")</f>
        <v>0</v>
      </c>
      <c r="CO218" s="15">
        <f>COUNTIF(CJ218:CM218,"AB")</f>
        <v>0</v>
      </c>
      <c r="CP218" s="15">
        <f t="shared" si="184"/>
        <v>0</v>
      </c>
      <c r="CU218" s="15">
        <f t="shared" si="206"/>
        <v>0</v>
      </c>
      <c r="CV218" s="15">
        <f t="shared" si="198"/>
        <v>0</v>
      </c>
      <c r="CW218" s="15">
        <f t="shared" si="199"/>
        <v>0</v>
      </c>
      <c r="CX218" s="15">
        <f>CG218+CN218+CU218</f>
        <v>0</v>
      </c>
      <c r="CY218" s="15" t="e">
        <f>SUM(CE218,#REF!,CS218)</f>
        <v>#REF!</v>
      </c>
      <c r="CZ218" s="1" t="e">
        <f t="shared" si="210"/>
        <v>#REF!</v>
      </c>
      <c r="DA218" s="78"/>
    </row>
    <row r="219" spans="1:105">
      <c r="A219" s="91"/>
      <c r="B219" s="14"/>
      <c r="H219" s="15">
        <f t="shared" si="191"/>
        <v>0</v>
      </c>
      <c r="I219" s="18">
        <f t="shared" si="187"/>
        <v>0</v>
      </c>
      <c r="J219" s="15">
        <f t="shared" si="188"/>
        <v>0</v>
      </c>
      <c r="O219" s="15">
        <f t="shared" si="200"/>
        <v>0</v>
      </c>
      <c r="P219" s="18">
        <f t="shared" si="189"/>
        <v>0</v>
      </c>
      <c r="Q219" s="15">
        <f t="shared" si="190"/>
        <v>0</v>
      </c>
      <c r="V219" s="15">
        <f t="shared" si="192"/>
        <v>0</v>
      </c>
      <c r="W219" s="15">
        <f t="shared" si="193"/>
        <v>0</v>
      </c>
      <c r="X219" s="15">
        <f t="shared" si="186"/>
        <v>0</v>
      </c>
      <c r="Y219" s="15">
        <f>J219+Q219+X219</f>
        <v>0</v>
      </c>
      <c r="Z219" s="15">
        <f>SUM(H219,O219,V219)</f>
        <v>0</v>
      </c>
      <c r="AA219" s="78" t="e">
        <f t="shared" si="207"/>
        <v>#DIV/0!</v>
      </c>
      <c r="AB219" s="78"/>
      <c r="AG219" s="15">
        <f t="shared" si="201"/>
        <v>0</v>
      </c>
      <c r="AH219" s="15">
        <f t="shared" si="174"/>
        <v>0</v>
      </c>
      <c r="AI219" s="15">
        <f t="shared" si="175"/>
        <v>0</v>
      </c>
      <c r="AO219" s="15">
        <f t="shared" si="202"/>
        <v>0</v>
      </c>
      <c r="AP219" s="15">
        <f t="shared" si="176"/>
        <v>0</v>
      </c>
      <c r="AQ219" s="15">
        <f t="shared" si="177"/>
        <v>0</v>
      </c>
      <c r="AV219" s="15">
        <f>COUNTIF(AR219:AU219,"PR")</f>
        <v>0</v>
      </c>
      <c r="AW219" s="15">
        <f t="shared" si="194"/>
        <v>0</v>
      </c>
      <c r="AX219" s="15">
        <f t="shared" si="185"/>
        <v>0</v>
      </c>
      <c r="AY219" s="15">
        <f>AI219+AQ219+AX219</f>
        <v>0</v>
      </c>
      <c r="AZ219" s="15">
        <f>SUM(AG219,AO219,AV219)</f>
        <v>0</v>
      </c>
      <c r="BA219" s="78" t="e">
        <f t="shared" si="208"/>
        <v>#DIV/0!</v>
      </c>
      <c r="BD219" s="1"/>
      <c r="BF219" s="15">
        <f t="shared" si="203"/>
        <v>0</v>
      </c>
      <c r="BG219" s="15">
        <f t="shared" si="178"/>
        <v>0</v>
      </c>
      <c r="BH219" s="15">
        <f t="shared" si="179"/>
        <v>0</v>
      </c>
      <c r="BN219" s="15">
        <f t="shared" si="204"/>
        <v>0</v>
      </c>
      <c r="BO219" s="15">
        <f t="shared" si="195"/>
        <v>0</v>
      </c>
      <c r="BP219" s="15">
        <f t="shared" si="180"/>
        <v>0</v>
      </c>
      <c r="BU219" s="15">
        <f t="shared" si="205"/>
        <v>0</v>
      </c>
      <c r="BV219" s="15">
        <f t="shared" si="181"/>
        <v>0</v>
      </c>
      <c r="BW219" s="15">
        <f t="shared" si="182"/>
        <v>0</v>
      </c>
      <c r="BX219" s="15">
        <f t="shared" si="196"/>
        <v>0</v>
      </c>
      <c r="BY219" s="15">
        <f t="shared" si="197"/>
        <v>0</v>
      </c>
      <c r="BZ219" s="1" t="e">
        <f t="shared" si="209"/>
        <v>#DIV/0!</v>
      </c>
      <c r="CA219" s="78"/>
      <c r="CG219" s="15">
        <f>COUNTIF(CB219:CF219,"PR")</f>
        <v>0</v>
      </c>
      <c r="CH219" s="15">
        <f>COUNTIF(CB219:CF219,"AB")</f>
        <v>0</v>
      </c>
      <c r="CI219" s="15">
        <f t="shared" si="183"/>
        <v>0</v>
      </c>
      <c r="CN219" s="15">
        <f>COUNTIF(CJ219:CM219,"PR")</f>
        <v>0</v>
      </c>
      <c r="CO219" s="15">
        <f>COUNTIF(CJ219:CM219,"AB")</f>
        <v>0</v>
      </c>
      <c r="CP219" s="15">
        <f t="shared" si="184"/>
        <v>0</v>
      </c>
      <c r="CU219" s="15">
        <f t="shared" si="206"/>
        <v>0</v>
      </c>
      <c r="CV219" s="15">
        <f t="shared" si="198"/>
        <v>0</v>
      </c>
      <c r="CW219" s="15">
        <f t="shared" si="199"/>
        <v>0</v>
      </c>
      <c r="CX219" s="15">
        <f>CG219+CN219+CU219</f>
        <v>0</v>
      </c>
      <c r="CY219" s="15" t="e">
        <f>SUM(CE219,#REF!,CS219)</f>
        <v>#REF!</v>
      </c>
      <c r="CZ219" s="1" t="e">
        <f t="shared" si="210"/>
        <v>#REF!</v>
      </c>
      <c r="DA219" s="78"/>
    </row>
    <row r="220" spans="1:105">
      <c r="A220" s="91"/>
      <c r="B220" s="14"/>
      <c r="H220" s="15">
        <f t="shared" si="191"/>
        <v>0</v>
      </c>
      <c r="I220" s="18">
        <f t="shared" si="187"/>
        <v>0</v>
      </c>
      <c r="J220" s="15">
        <f t="shared" si="188"/>
        <v>0</v>
      </c>
      <c r="O220" s="15">
        <f t="shared" si="200"/>
        <v>0</v>
      </c>
      <c r="P220" s="18">
        <f t="shared" si="189"/>
        <v>0</v>
      </c>
      <c r="Q220" s="15">
        <f t="shared" si="190"/>
        <v>0</v>
      </c>
      <c r="V220" s="15">
        <f t="shared" si="192"/>
        <v>0</v>
      </c>
      <c r="W220" s="15">
        <f t="shared" si="193"/>
        <v>0</v>
      </c>
      <c r="X220" s="15">
        <f t="shared" si="186"/>
        <v>0</v>
      </c>
      <c r="Y220" s="15">
        <f>J220+Q220+X220</f>
        <v>0</v>
      </c>
      <c r="Z220" s="15">
        <f>SUM(H220,O220,V220)</f>
        <v>0</v>
      </c>
      <c r="AA220" s="78" t="e">
        <f t="shared" si="207"/>
        <v>#DIV/0!</v>
      </c>
      <c r="AB220" s="78"/>
      <c r="AG220" s="15">
        <f t="shared" si="201"/>
        <v>0</v>
      </c>
      <c r="AH220" s="15">
        <f t="shared" si="174"/>
        <v>0</v>
      </c>
      <c r="AI220" s="15">
        <f t="shared" si="175"/>
        <v>0</v>
      </c>
      <c r="AO220" s="15">
        <f t="shared" si="202"/>
        <v>0</v>
      </c>
      <c r="AP220" s="15">
        <f t="shared" si="176"/>
        <v>0</v>
      </c>
      <c r="AQ220" s="15">
        <f t="shared" si="177"/>
        <v>0</v>
      </c>
      <c r="AV220" s="15">
        <f>COUNTIF(AR220:AU220,"PR")</f>
        <v>0</v>
      </c>
      <c r="AW220" s="15">
        <f t="shared" si="194"/>
        <v>0</v>
      </c>
      <c r="AX220" s="15">
        <f t="shared" si="185"/>
        <v>0</v>
      </c>
      <c r="AY220" s="15">
        <f>AI220+AQ220+AX220</f>
        <v>0</v>
      </c>
      <c r="AZ220" s="15">
        <f>SUM(AG220,AO220,AV220)</f>
        <v>0</v>
      </c>
      <c r="BA220" s="78" t="e">
        <f t="shared" si="208"/>
        <v>#DIV/0!</v>
      </c>
      <c r="BD220" s="1"/>
      <c r="BF220" s="15">
        <f t="shared" si="203"/>
        <v>0</v>
      </c>
      <c r="BG220" s="15">
        <f t="shared" si="178"/>
        <v>0</v>
      </c>
      <c r="BH220" s="15">
        <f t="shared" si="179"/>
        <v>0</v>
      </c>
      <c r="BN220" s="15">
        <f t="shared" si="204"/>
        <v>0</v>
      </c>
      <c r="BO220" s="15">
        <f t="shared" si="195"/>
        <v>0</v>
      </c>
      <c r="BP220" s="15">
        <f t="shared" si="180"/>
        <v>0</v>
      </c>
      <c r="BU220" s="15">
        <f t="shared" si="205"/>
        <v>0</v>
      </c>
      <c r="BV220" s="15">
        <f t="shared" si="181"/>
        <v>0</v>
      </c>
      <c r="BW220" s="15">
        <f t="shared" si="182"/>
        <v>0</v>
      </c>
      <c r="BX220" s="15">
        <f t="shared" si="196"/>
        <v>0</v>
      </c>
      <c r="BY220" s="15">
        <f t="shared" si="197"/>
        <v>0</v>
      </c>
      <c r="BZ220" s="1" t="e">
        <f t="shared" si="209"/>
        <v>#DIV/0!</v>
      </c>
      <c r="CA220" s="78"/>
      <c r="CG220" s="15">
        <f>COUNTIF(CB220:CF220,"PR")</f>
        <v>0</v>
      </c>
      <c r="CH220" s="15">
        <f>COUNTIF(CB220:CF220,"AB")</f>
        <v>0</v>
      </c>
      <c r="CI220" s="15">
        <f t="shared" si="183"/>
        <v>0</v>
      </c>
      <c r="CN220" s="15">
        <f>COUNTIF(CJ220:CM220,"PR")</f>
        <v>0</v>
      </c>
      <c r="CO220" s="15">
        <f>COUNTIF(CJ220:CM220,"AB")</f>
        <v>0</v>
      </c>
      <c r="CP220" s="15">
        <f t="shared" si="184"/>
        <v>0</v>
      </c>
      <c r="CU220" s="15">
        <f t="shared" si="206"/>
        <v>0</v>
      </c>
      <c r="CV220" s="15">
        <f t="shared" si="198"/>
        <v>0</v>
      </c>
      <c r="CW220" s="15">
        <f t="shared" si="199"/>
        <v>0</v>
      </c>
      <c r="CX220" s="15">
        <f>CG220+CN220+CU220</f>
        <v>0</v>
      </c>
      <c r="CY220" s="15" t="e">
        <f>SUM(CE220,#REF!,CS220)</f>
        <v>#REF!</v>
      </c>
      <c r="CZ220" s="1" t="e">
        <f t="shared" si="210"/>
        <v>#REF!</v>
      </c>
      <c r="DA220" s="78"/>
    </row>
    <row r="221" spans="1:105">
      <c r="A221" s="91"/>
      <c r="B221" s="14"/>
      <c r="H221" s="15">
        <f t="shared" si="191"/>
        <v>0</v>
      </c>
      <c r="I221" s="18">
        <f t="shared" si="187"/>
        <v>0</v>
      </c>
      <c r="J221" s="15">
        <f t="shared" si="188"/>
        <v>0</v>
      </c>
      <c r="O221" s="15">
        <f t="shared" si="200"/>
        <v>0</v>
      </c>
      <c r="P221" s="18">
        <f t="shared" si="189"/>
        <v>0</v>
      </c>
      <c r="Q221" s="15">
        <f t="shared" si="190"/>
        <v>0</v>
      </c>
      <c r="V221" s="15">
        <f t="shared" si="192"/>
        <v>0</v>
      </c>
      <c r="W221" s="15">
        <f t="shared" si="193"/>
        <v>0</v>
      </c>
      <c r="X221" s="15">
        <f t="shared" si="186"/>
        <v>0</v>
      </c>
      <c r="Y221" s="15">
        <f>J221+Q221+X221</f>
        <v>0</v>
      </c>
      <c r="Z221" s="15">
        <f>SUM(H221,O221,V221)</f>
        <v>0</v>
      </c>
      <c r="AA221" s="78" t="e">
        <f t="shared" si="207"/>
        <v>#DIV/0!</v>
      </c>
      <c r="AB221" s="78"/>
      <c r="AG221" s="15">
        <f t="shared" si="201"/>
        <v>0</v>
      </c>
      <c r="AH221" s="15">
        <f t="shared" si="174"/>
        <v>0</v>
      </c>
      <c r="AI221" s="15">
        <f t="shared" si="175"/>
        <v>0</v>
      </c>
      <c r="AO221" s="15">
        <f t="shared" si="202"/>
        <v>0</v>
      </c>
      <c r="AP221" s="15">
        <f t="shared" si="176"/>
        <v>0</v>
      </c>
      <c r="AQ221" s="15">
        <f t="shared" si="177"/>
        <v>0</v>
      </c>
      <c r="AV221" s="15">
        <f>COUNTIF(AR221:AU221,"PR")</f>
        <v>0</v>
      </c>
      <c r="AW221" s="15">
        <f t="shared" si="194"/>
        <v>0</v>
      </c>
      <c r="AX221" s="15">
        <f t="shared" si="185"/>
        <v>0</v>
      </c>
      <c r="AY221" s="15">
        <f>AI221+AQ221+AX221</f>
        <v>0</v>
      </c>
      <c r="AZ221" s="15">
        <f>SUM(AG221,AO221,AV221)</f>
        <v>0</v>
      </c>
      <c r="BA221" s="78" t="e">
        <f t="shared" si="208"/>
        <v>#DIV/0!</v>
      </c>
      <c r="BD221" s="1"/>
      <c r="BF221" s="15">
        <f t="shared" si="203"/>
        <v>0</v>
      </c>
      <c r="BG221" s="15">
        <f t="shared" si="178"/>
        <v>0</v>
      </c>
      <c r="BH221" s="15">
        <f t="shared" si="179"/>
        <v>0</v>
      </c>
      <c r="BN221" s="15">
        <f t="shared" si="204"/>
        <v>0</v>
      </c>
      <c r="BO221" s="15">
        <f t="shared" si="195"/>
        <v>0</v>
      </c>
      <c r="BP221" s="15">
        <f t="shared" si="180"/>
        <v>0</v>
      </c>
      <c r="BU221" s="15">
        <f t="shared" si="205"/>
        <v>0</v>
      </c>
      <c r="BV221" s="15">
        <f t="shared" si="181"/>
        <v>0</v>
      </c>
      <c r="BW221" s="15">
        <f t="shared" si="182"/>
        <v>0</v>
      </c>
      <c r="BX221" s="15">
        <f t="shared" si="196"/>
        <v>0</v>
      </c>
      <c r="BY221" s="15">
        <f t="shared" si="197"/>
        <v>0</v>
      </c>
      <c r="BZ221" s="1" t="e">
        <f t="shared" si="209"/>
        <v>#DIV/0!</v>
      </c>
      <c r="CA221" s="78"/>
      <c r="CG221" s="15">
        <f>COUNTIF(CB221:CF221,"PR")</f>
        <v>0</v>
      </c>
      <c r="CH221" s="15">
        <f>COUNTIF(CB221:CF221,"AB")</f>
        <v>0</v>
      </c>
      <c r="CI221" s="15">
        <f t="shared" si="183"/>
        <v>0</v>
      </c>
      <c r="CN221" s="15">
        <f>COUNTIF(CJ221:CM221,"PR")</f>
        <v>0</v>
      </c>
      <c r="CO221" s="15">
        <f>COUNTIF(CJ221:CM221,"AB")</f>
        <v>0</v>
      </c>
      <c r="CP221" s="15">
        <f t="shared" si="184"/>
        <v>0</v>
      </c>
      <c r="CU221" s="15">
        <f t="shared" si="206"/>
        <v>0</v>
      </c>
      <c r="CV221" s="15">
        <f t="shared" si="198"/>
        <v>0</v>
      </c>
      <c r="CW221" s="15">
        <f t="shared" si="199"/>
        <v>0</v>
      </c>
      <c r="CX221" s="15">
        <f>CG221+CN221+CU221</f>
        <v>0</v>
      </c>
      <c r="CY221" s="15" t="e">
        <f>SUM(CE221,#REF!,CS221)</f>
        <v>#REF!</v>
      </c>
      <c r="CZ221" s="1" t="e">
        <f t="shared" si="210"/>
        <v>#REF!</v>
      </c>
      <c r="DA221" s="78"/>
    </row>
    <row r="222" spans="1:105">
      <c r="A222" s="91"/>
      <c r="B222" s="14"/>
      <c r="H222" s="15">
        <f t="shared" si="191"/>
        <v>0</v>
      </c>
      <c r="I222" s="18">
        <f t="shared" si="187"/>
        <v>0</v>
      </c>
      <c r="J222" s="15">
        <f t="shared" si="188"/>
        <v>0</v>
      </c>
      <c r="O222" s="15">
        <f t="shared" si="200"/>
        <v>0</v>
      </c>
      <c r="P222" s="18">
        <f t="shared" si="189"/>
        <v>0</v>
      </c>
      <c r="Q222" s="15">
        <f t="shared" si="190"/>
        <v>0</v>
      </c>
      <c r="V222" s="15">
        <f t="shared" si="192"/>
        <v>0</v>
      </c>
      <c r="W222" s="15">
        <f t="shared" si="193"/>
        <v>0</v>
      </c>
      <c r="X222" s="15">
        <f t="shared" si="186"/>
        <v>0</v>
      </c>
      <c r="Y222" s="15">
        <f>J222+Q222+X222</f>
        <v>0</v>
      </c>
      <c r="Z222" s="15">
        <f>SUM(H222,O222,V222)</f>
        <v>0</v>
      </c>
      <c r="AA222" s="78" t="e">
        <f t="shared" si="207"/>
        <v>#DIV/0!</v>
      </c>
      <c r="AB222" s="78"/>
      <c r="AG222" s="15">
        <f t="shared" si="201"/>
        <v>0</v>
      </c>
      <c r="AH222" s="15">
        <f t="shared" si="174"/>
        <v>0</v>
      </c>
      <c r="AI222" s="15">
        <f t="shared" si="175"/>
        <v>0</v>
      </c>
      <c r="AO222" s="15">
        <f t="shared" si="202"/>
        <v>0</v>
      </c>
      <c r="AP222" s="15">
        <f t="shared" si="176"/>
        <v>0</v>
      </c>
      <c r="AQ222" s="15">
        <f t="shared" si="177"/>
        <v>0</v>
      </c>
      <c r="AV222" s="15">
        <f>COUNTIF(AR222:AU222,"PR")</f>
        <v>0</v>
      </c>
      <c r="AW222" s="15">
        <f t="shared" si="194"/>
        <v>0</v>
      </c>
      <c r="AX222" s="15">
        <f t="shared" si="185"/>
        <v>0</v>
      </c>
      <c r="AY222" s="15">
        <f>AI222+AQ222+AX222</f>
        <v>0</v>
      </c>
      <c r="AZ222" s="15">
        <f>SUM(AG222,AO222,AV222)</f>
        <v>0</v>
      </c>
      <c r="BA222" s="78" t="e">
        <f t="shared" si="208"/>
        <v>#DIV/0!</v>
      </c>
      <c r="BD222" s="1"/>
      <c r="BF222" s="15">
        <f t="shared" si="203"/>
        <v>0</v>
      </c>
      <c r="BG222" s="15">
        <f t="shared" si="178"/>
        <v>0</v>
      </c>
      <c r="BH222" s="15">
        <f t="shared" si="179"/>
        <v>0</v>
      </c>
      <c r="BN222" s="15">
        <f t="shared" si="204"/>
        <v>0</v>
      </c>
      <c r="BO222" s="15">
        <f t="shared" si="195"/>
        <v>0</v>
      </c>
      <c r="BP222" s="15">
        <f t="shared" si="180"/>
        <v>0</v>
      </c>
      <c r="BU222" s="15">
        <f t="shared" si="205"/>
        <v>0</v>
      </c>
      <c r="BV222" s="15">
        <f t="shared" si="181"/>
        <v>0</v>
      </c>
      <c r="BW222" s="15">
        <f t="shared" si="182"/>
        <v>0</v>
      </c>
      <c r="BX222" s="15">
        <f t="shared" si="196"/>
        <v>0</v>
      </c>
      <c r="BY222" s="15">
        <f t="shared" si="197"/>
        <v>0</v>
      </c>
      <c r="BZ222" s="1" t="e">
        <f t="shared" si="209"/>
        <v>#DIV/0!</v>
      </c>
      <c r="CA222" s="78"/>
      <c r="CG222" s="15">
        <f>COUNTIF(CB222:CF222,"PR")</f>
        <v>0</v>
      </c>
      <c r="CH222" s="15">
        <f>COUNTIF(CB222:CF222,"AB")</f>
        <v>0</v>
      </c>
      <c r="CI222" s="15">
        <f t="shared" si="183"/>
        <v>0</v>
      </c>
      <c r="CN222" s="15">
        <f>COUNTIF(CJ222:CM222,"PR")</f>
        <v>0</v>
      </c>
      <c r="CO222" s="15">
        <f>COUNTIF(CJ222:CM222,"AB")</f>
        <v>0</v>
      </c>
      <c r="CP222" s="15">
        <f t="shared" si="184"/>
        <v>0</v>
      </c>
      <c r="CU222" s="15">
        <f t="shared" si="206"/>
        <v>0</v>
      </c>
      <c r="CV222" s="15">
        <f t="shared" si="198"/>
        <v>0</v>
      </c>
      <c r="CW222" s="15">
        <f t="shared" si="199"/>
        <v>0</v>
      </c>
      <c r="CX222" s="15">
        <f>CG222+CN222+CU222</f>
        <v>0</v>
      </c>
      <c r="CY222" s="15" t="e">
        <f>SUM(CE222,#REF!,CS222)</f>
        <v>#REF!</v>
      </c>
      <c r="CZ222" s="1" t="e">
        <f t="shared" si="210"/>
        <v>#REF!</v>
      </c>
      <c r="DA222" s="78"/>
    </row>
    <row r="223" spans="1:105">
      <c r="A223" s="91"/>
      <c r="B223" s="14"/>
      <c r="H223" s="15">
        <f t="shared" si="191"/>
        <v>0</v>
      </c>
      <c r="I223" s="18">
        <f t="shared" si="187"/>
        <v>0</v>
      </c>
      <c r="J223" s="15">
        <f t="shared" si="188"/>
        <v>0</v>
      </c>
      <c r="O223" s="15">
        <f t="shared" si="200"/>
        <v>0</v>
      </c>
      <c r="P223" s="18">
        <f t="shared" si="189"/>
        <v>0</v>
      </c>
      <c r="Q223" s="15">
        <f t="shared" si="190"/>
        <v>0</v>
      </c>
      <c r="V223" s="15">
        <f t="shared" si="192"/>
        <v>0</v>
      </c>
      <c r="W223" s="15">
        <f t="shared" si="193"/>
        <v>0</v>
      </c>
      <c r="X223" s="15">
        <f t="shared" si="186"/>
        <v>0</v>
      </c>
      <c r="Y223" s="15">
        <f>J223+Q223+X223</f>
        <v>0</v>
      </c>
      <c r="Z223" s="15">
        <f>SUM(H223,O223,V223)</f>
        <v>0</v>
      </c>
      <c r="AA223" s="78" t="e">
        <f t="shared" si="207"/>
        <v>#DIV/0!</v>
      </c>
      <c r="AB223" s="78"/>
      <c r="AG223" s="15">
        <f t="shared" si="201"/>
        <v>0</v>
      </c>
      <c r="AH223" s="15">
        <f t="shared" si="174"/>
        <v>0</v>
      </c>
      <c r="AI223" s="15">
        <f t="shared" si="175"/>
        <v>0</v>
      </c>
      <c r="AO223" s="15">
        <f t="shared" si="202"/>
        <v>0</v>
      </c>
      <c r="AP223" s="15">
        <f t="shared" si="176"/>
        <v>0</v>
      </c>
      <c r="AQ223" s="15">
        <f t="shared" si="177"/>
        <v>0</v>
      </c>
      <c r="AV223" s="15">
        <f>COUNTIF(AR223:AU223,"PR")</f>
        <v>0</v>
      </c>
      <c r="AW223" s="15">
        <f t="shared" si="194"/>
        <v>0</v>
      </c>
      <c r="AX223" s="15">
        <f t="shared" si="185"/>
        <v>0</v>
      </c>
      <c r="AY223" s="15">
        <f>AI223+AQ223+AX223</f>
        <v>0</v>
      </c>
      <c r="AZ223" s="15">
        <f>SUM(AG223,AO223,AV223)</f>
        <v>0</v>
      </c>
      <c r="BA223" s="78" t="e">
        <f t="shared" si="208"/>
        <v>#DIV/0!</v>
      </c>
      <c r="BD223" s="1"/>
      <c r="BF223" s="15">
        <f t="shared" si="203"/>
        <v>0</v>
      </c>
      <c r="BG223" s="15">
        <f t="shared" si="178"/>
        <v>0</v>
      </c>
      <c r="BH223" s="15">
        <f t="shared" si="179"/>
        <v>0</v>
      </c>
      <c r="BN223" s="15">
        <f t="shared" si="204"/>
        <v>0</v>
      </c>
      <c r="BO223" s="15">
        <f t="shared" si="195"/>
        <v>0</v>
      </c>
      <c r="BP223" s="15">
        <f t="shared" si="180"/>
        <v>0</v>
      </c>
      <c r="BU223" s="15">
        <f t="shared" si="205"/>
        <v>0</v>
      </c>
      <c r="BV223" s="15">
        <f t="shared" si="181"/>
        <v>0</v>
      </c>
      <c r="BW223" s="15">
        <f t="shared" si="182"/>
        <v>0</v>
      </c>
      <c r="BX223" s="15">
        <f t="shared" si="196"/>
        <v>0</v>
      </c>
      <c r="BY223" s="15">
        <f t="shared" si="197"/>
        <v>0</v>
      </c>
      <c r="BZ223" s="1" t="e">
        <f t="shared" si="209"/>
        <v>#DIV/0!</v>
      </c>
      <c r="CA223" s="78"/>
      <c r="CG223" s="15">
        <f>COUNTIF(CB223:CF223,"PR")</f>
        <v>0</v>
      </c>
      <c r="CH223" s="15">
        <f>COUNTIF(CB223:CF223,"AB")</f>
        <v>0</v>
      </c>
      <c r="CI223" s="15">
        <f t="shared" si="183"/>
        <v>0</v>
      </c>
      <c r="CN223" s="15">
        <f>COUNTIF(CJ223:CM223,"PR")</f>
        <v>0</v>
      </c>
      <c r="CO223" s="15">
        <f>COUNTIF(CJ223:CM223,"AB")</f>
        <v>0</v>
      </c>
      <c r="CP223" s="15">
        <f t="shared" si="184"/>
        <v>0</v>
      </c>
      <c r="CU223" s="15">
        <f t="shared" si="206"/>
        <v>0</v>
      </c>
      <c r="CV223" s="15">
        <f t="shared" si="198"/>
        <v>0</v>
      </c>
      <c r="CW223" s="15">
        <f t="shared" si="199"/>
        <v>0</v>
      </c>
      <c r="CX223" s="15">
        <f>CG223+CN223+CU223</f>
        <v>0</v>
      </c>
      <c r="CY223" s="15" t="e">
        <f>SUM(CE223,#REF!,CS223)</f>
        <v>#REF!</v>
      </c>
      <c r="CZ223" s="1" t="e">
        <f t="shared" si="210"/>
        <v>#REF!</v>
      </c>
      <c r="DA223" s="78"/>
    </row>
    <row r="224" spans="1:105">
      <c r="A224" s="91"/>
      <c r="B224" s="14"/>
      <c r="H224" s="15">
        <f t="shared" si="191"/>
        <v>0</v>
      </c>
      <c r="I224" s="18">
        <f t="shared" si="187"/>
        <v>0</v>
      </c>
      <c r="J224" s="15">
        <f t="shared" si="188"/>
        <v>0</v>
      </c>
      <c r="O224" s="15">
        <f t="shared" si="200"/>
        <v>0</v>
      </c>
      <c r="P224" s="18">
        <f t="shared" si="189"/>
        <v>0</v>
      </c>
      <c r="Q224" s="15">
        <f t="shared" si="190"/>
        <v>0</v>
      </c>
      <c r="V224" s="15">
        <f t="shared" si="192"/>
        <v>0</v>
      </c>
      <c r="W224" s="15">
        <f t="shared" si="193"/>
        <v>0</v>
      </c>
      <c r="X224" s="15">
        <f t="shared" si="186"/>
        <v>0</v>
      </c>
      <c r="Y224" s="15">
        <f>J224+Q224+X224</f>
        <v>0</v>
      </c>
      <c r="Z224" s="15">
        <f>SUM(H224,O224,V224)</f>
        <v>0</v>
      </c>
      <c r="AA224" s="78" t="e">
        <f t="shared" si="207"/>
        <v>#DIV/0!</v>
      </c>
      <c r="AB224" s="78"/>
      <c r="AG224" s="15">
        <f t="shared" si="201"/>
        <v>0</v>
      </c>
      <c r="AH224" s="15">
        <f t="shared" ref="AH224:AH287" si="211">COUNTIF(AC224:AF224,"AB")</f>
        <v>0</v>
      </c>
      <c r="AI224" s="15">
        <f t="shared" ref="AI224:AI287" si="212">AG224+AH224</f>
        <v>0</v>
      </c>
      <c r="AO224" s="15">
        <f t="shared" si="202"/>
        <v>0</v>
      </c>
      <c r="AP224" s="15">
        <f t="shared" ref="AP224:AP287" si="213">COUNTIF(AJ224:AN224,"AB")</f>
        <v>0</v>
      </c>
      <c r="AQ224" s="15">
        <f t="shared" ref="AQ224:AQ287" si="214">AO224+AP224</f>
        <v>0</v>
      </c>
      <c r="AV224" s="15">
        <f>COUNTIF(AR224:AU224,"PR")</f>
        <v>0</v>
      </c>
      <c r="AW224" s="15">
        <f t="shared" si="194"/>
        <v>0</v>
      </c>
      <c r="AX224" s="15">
        <f t="shared" si="185"/>
        <v>0</v>
      </c>
      <c r="AY224" s="15">
        <f>AI224+AQ224+AX224</f>
        <v>0</v>
      </c>
      <c r="AZ224" s="15">
        <f>SUM(AG224,AO224,AV224)</f>
        <v>0</v>
      </c>
      <c r="BA224" s="78" t="e">
        <f t="shared" si="208"/>
        <v>#DIV/0!</v>
      </c>
      <c r="BD224" s="1"/>
      <c r="BF224" s="15">
        <f t="shared" si="203"/>
        <v>0</v>
      </c>
      <c r="BG224" s="15">
        <f t="shared" ref="BG224:BG287" si="215">COUNTIF(BB224:BE224,"AB")</f>
        <v>0</v>
      </c>
      <c r="BH224" s="15">
        <f t="shared" ref="BH224:BH287" si="216">BF224+BG224</f>
        <v>0</v>
      </c>
      <c r="BN224" s="15">
        <f t="shared" si="204"/>
        <v>0</v>
      </c>
      <c r="BO224" s="15">
        <f t="shared" si="195"/>
        <v>0</v>
      </c>
      <c r="BP224" s="15">
        <f t="shared" ref="BP224:BP287" si="217">BN224+BO224</f>
        <v>0</v>
      </c>
      <c r="BU224" s="15">
        <f t="shared" si="205"/>
        <v>0</v>
      </c>
      <c r="BV224" s="15">
        <f t="shared" ref="BV224:BV287" si="218">COUNTIF(BQ224:BT224,"AB")</f>
        <v>0</v>
      </c>
      <c r="BW224" s="15">
        <f t="shared" ref="BW224:BW287" si="219">BU224+BV224</f>
        <v>0</v>
      </c>
      <c r="BX224" s="15">
        <f t="shared" si="196"/>
        <v>0</v>
      </c>
      <c r="BY224" s="15">
        <f t="shared" si="197"/>
        <v>0</v>
      </c>
      <c r="BZ224" s="1" t="e">
        <f t="shared" si="209"/>
        <v>#DIV/0!</v>
      </c>
      <c r="CA224" s="78"/>
      <c r="CG224" s="15">
        <f>COUNTIF(CB224:CF224,"PR")</f>
        <v>0</v>
      </c>
      <c r="CH224" s="15">
        <f>COUNTIF(CB224:CF224,"AB")</f>
        <v>0</v>
      </c>
      <c r="CI224" s="15">
        <f t="shared" ref="CI224:CI287" si="220">CG224+CH224</f>
        <v>0</v>
      </c>
      <c r="CN224" s="15">
        <f>COUNTIF(CJ224:CM224,"PR")</f>
        <v>0</v>
      </c>
      <c r="CO224" s="15">
        <f>COUNTIF(CJ224:CM224,"AB")</f>
        <v>0</v>
      </c>
      <c r="CP224" s="15">
        <f t="shared" ref="CP224:CP287" si="221">CN224+CO224</f>
        <v>0</v>
      </c>
      <c r="CU224" s="15">
        <f t="shared" si="206"/>
        <v>0</v>
      </c>
      <c r="CV224" s="15">
        <f t="shared" si="198"/>
        <v>0</v>
      </c>
      <c r="CW224" s="15">
        <f t="shared" si="199"/>
        <v>0</v>
      </c>
      <c r="CX224" s="15">
        <f>CG224+CN224+CU224</f>
        <v>0</v>
      </c>
      <c r="CY224" s="15" t="e">
        <f>SUM(CE224,#REF!,CS224)</f>
        <v>#REF!</v>
      </c>
      <c r="CZ224" s="1" t="e">
        <f t="shared" si="210"/>
        <v>#REF!</v>
      </c>
      <c r="DA224" s="78"/>
    </row>
    <row r="225" spans="1:105">
      <c r="A225" s="91"/>
      <c r="B225" s="14"/>
      <c r="H225" s="15">
        <f t="shared" si="191"/>
        <v>0</v>
      </c>
      <c r="I225" s="18">
        <f t="shared" si="187"/>
        <v>0</v>
      </c>
      <c r="J225" s="15">
        <f t="shared" si="188"/>
        <v>0</v>
      </c>
      <c r="O225" s="15">
        <f t="shared" si="200"/>
        <v>0</v>
      </c>
      <c r="P225" s="18">
        <f t="shared" si="189"/>
        <v>0</v>
      </c>
      <c r="Q225" s="15">
        <f t="shared" si="190"/>
        <v>0</v>
      </c>
      <c r="V225" s="15">
        <f t="shared" si="192"/>
        <v>0</v>
      </c>
      <c r="W225" s="15">
        <f t="shared" si="193"/>
        <v>0</v>
      </c>
      <c r="X225" s="15">
        <f t="shared" si="186"/>
        <v>0</v>
      </c>
      <c r="Y225" s="15">
        <f>J225+Q225+X225</f>
        <v>0</v>
      </c>
      <c r="Z225" s="15">
        <f>SUM(H225,O225,V225)</f>
        <v>0</v>
      </c>
      <c r="AA225" s="78" t="e">
        <f t="shared" si="207"/>
        <v>#DIV/0!</v>
      </c>
      <c r="AB225" s="78"/>
      <c r="AC225" s="76"/>
      <c r="AD225" s="72"/>
      <c r="AE225" s="72"/>
      <c r="AF225" s="72"/>
      <c r="AG225" s="15">
        <f t="shared" si="201"/>
        <v>0</v>
      </c>
      <c r="AH225" s="15">
        <f t="shared" si="211"/>
        <v>0</v>
      </c>
      <c r="AI225" s="15">
        <f t="shared" si="212"/>
        <v>0</v>
      </c>
      <c r="AO225" s="15">
        <f t="shared" si="202"/>
        <v>0</v>
      </c>
      <c r="AP225" s="15">
        <f t="shared" si="213"/>
        <v>0</v>
      </c>
      <c r="AQ225" s="15">
        <f t="shared" si="214"/>
        <v>0</v>
      </c>
      <c r="AV225" s="15">
        <f>COUNTIF(AR225:AU225,"PR")</f>
        <v>0</v>
      </c>
      <c r="AW225" s="15">
        <f t="shared" si="194"/>
        <v>0</v>
      </c>
      <c r="AX225" s="15">
        <f t="shared" ref="AX225:AX288" si="222">AV225+AW225</f>
        <v>0</v>
      </c>
      <c r="AY225" s="15">
        <f>AI225+AQ225+AX225</f>
        <v>0</v>
      </c>
      <c r="AZ225" s="15">
        <f>SUM(AG225,AO225,AV225)</f>
        <v>0</v>
      </c>
      <c r="BA225" s="78" t="e">
        <f t="shared" si="208"/>
        <v>#DIV/0!</v>
      </c>
      <c r="BD225" s="1"/>
      <c r="BF225" s="15">
        <f t="shared" si="203"/>
        <v>0</v>
      </c>
      <c r="BG225" s="15">
        <f t="shared" si="215"/>
        <v>0</v>
      </c>
      <c r="BH225" s="15">
        <f t="shared" si="216"/>
        <v>0</v>
      </c>
      <c r="BN225" s="15">
        <f t="shared" si="204"/>
        <v>0</v>
      </c>
      <c r="BO225" s="15">
        <f t="shared" si="195"/>
        <v>0</v>
      </c>
      <c r="BP225" s="15">
        <f t="shared" si="217"/>
        <v>0</v>
      </c>
      <c r="BU225" s="15">
        <f t="shared" si="205"/>
        <v>0</v>
      </c>
      <c r="BV225" s="15">
        <f t="shared" si="218"/>
        <v>0</v>
      </c>
      <c r="BW225" s="15">
        <f t="shared" si="219"/>
        <v>0</v>
      </c>
      <c r="BX225" s="15">
        <f t="shared" si="196"/>
        <v>0</v>
      </c>
      <c r="BY225" s="15">
        <f t="shared" si="197"/>
        <v>0</v>
      </c>
      <c r="BZ225" s="1" t="e">
        <f t="shared" si="209"/>
        <v>#DIV/0!</v>
      </c>
      <c r="CA225" s="78"/>
      <c r="CG225" s="15">
        <f>COUNTIF(CB225:CF225,"PR")</f>
        <v>0</v>
      </c>
      <c r="CH225" s="15">
        <f>COUNTIF(CB225:CF225,"AB")</f>
        <v>0</v>
      </c>
      <c r="CI225" s="15">
        <f t="shared" si="220"/>
        <v>0</v>
      </c>
      <c r="CN225" s="15">
        <f>COUNTIF(CJ225:CM225,"PR")</f>
        <v>0</v>
      </c>
      <c r="CO225" s="15">
        <f>COUNTIF(CJ225:CM225,"AB")</f>
        <v>0</v>
      </c>
      <c r="CP225" s="15">
        <f t="shared" si="221"/>
        <v>0</v>
      </c>
      <c r="CU225" s="15">
        <f t="shared" si="206"/>
        <v>0</v>
      </c>
      <c r="CV225" s="15">
        <f t="shared" si="198"/>
        <v>0</v>
      </c>
      <c r="CW225" s="15">
        <f t="shared" si="199"/>
        <v>0</v>
      </c>
      <c r="CX225" s="15">
        <f>CG225+CN225+CU225</f>
        <v>0</v>
      </c>
      <c r="CY225" s="15" t="e">
        <f>SUM(CE225,#REF!,CS225)</f>
        <v>#REF!</v>
      </c>
      <c r="CZ225" s="1" t="e">
        <f t="shared" si="210"/>
        <v>#REF!</v>
      </c>
      <c r="DA225" s="78"/>
    </row>
    <row r="226" spans="1:105">
      <c r="A226" s="91"/>
      <c r="B226" s="14"/>
      <c r="H226" s="15">
        <f t="shared" si="191"/>
        <v>0</v>
      </c>
      <c r="I226" s="18">
        <f t="shared" si="187"/>
        <v>0</v>
      </c>
      <c r="J226" s="15">
        <f t="shared" si="188"/>
        <v>0</v>
      </c>
      <c r="O226" s="15">
        <f t="shared" si="200"/>
        <v>0</v>
      </c>
      <c r="P226" s="18">
        <f t="shared" si="189"/>
        <v>0</v>
      </c>
      <c r="Q226" s="15">
        <f t="shared" si="190"/>
        <v>0</v>
      </c>
      <c r="V226" s="15">
        <f t="shared" si="192"/>
        <v>0</v>
      </c>
      <c r="W226" s="15">
        <f t="shared" si="193"/>
        <v>0</v>
      </c>
      <c r="X226" s="15">
        <f t="shared" ref="X226:X289" si="223">V226+W226</f>
        <v>0</v>
      </c>
      <c r="Y226" s="15">
        <f>J226+Q226+X226</f>
        <v>0</v>
      </c>
      <c r="Z226" s="15">
        <f>SUM(H226,O226,V226)</f>
        <v>0</v>
      </c>
      <c r="AA226" s="78" t="e">
        <f t="shared" si="207"/>
        <v>#DIV/0!</v>
      </c>
      <c r="AB226" s="78"/>
      <c r="AG226" s="15">
        <f t="shared" si="201"/>
        <v>0</v>
      </c>
      <c r="AH226" s="15">
        <f t="shared" si="211"/>
        <v>0</v>
      </c>
      <c r="AI226" s="15">
        <f t="shared" si="212"/>
        <v>0</v>
      </c>
      <c r="AO226" s="15">
        <f t="shared" si="202"/>
        <v>0</v>
      </c>
      <c r="AP226" s="15">
        <f t="shared" si="213"/>
        <v>0</v>
      </c>
      <c r="AQ226" s="15">
        <f t="shared" si="214"/>
        <v>0</v>
      </c>
      <c r="AV226" s="15">
        <f>COUNTIF(AR226:AU226,"PR")</f>
        <v>0</v>
      </c>
      <c r="AW226" s="15">
        <f t="shared" si="194"/>
        <v>0</v>
      </c>
      <c r="AX226" s="15">
        <f t="shared" si="222"/>
        <v>0</v>
      </c>
      <c r="AY226" s="15">
        <f>AI226+AQ226+AX226</f>
        <v>0</v>
      </c>
      <c r="AZ226" s="15">
        <f>SUM(AG226,AO226,AV226)</f>
        <v>0</v>
      </c>
      <c r="BA226" s="78" t="e">
        <f t="shared" si="208"/>
        <v>#DIV/0!</v>
      </c>
      <c r="BD226" s="1"/>
      <c r="BF226" s="15">
        <f t="shared" si="203"/>
        <v>0</v>
      </c>
      <c r="BG226" s="15">
        <f t="shared" si="215"/>
        <v>0</v>
      </c>
      <c r="BH226" s="15">
        <f t="shared" si="216"/>
        <v>0</v>
      </c>
      <c r="BN226" s="15">
        <f t="shared" si="204"/>
        <v>0</v>
      </c>
      <c r="BO226" s="15">
        <f t="shared" si="195"/>
        <v>0</v>
      </c>
      <c r="BP226" s="15">
        <f t="shared" si="217"/>
        <v>0</v>
      </c>
      <c r="BU226" s="15">
        <f t="shared" si="205"/>
        <v>0</v>
      </c>
      <c r="BV226" s="15">
        <f t="shared" si="218"/>
        <v>0</v>
      </c>
      <c r="BW226" s="15">
        <f t="shared" si="219"/>
        <v>0</v>
      </c>
      <c r="BX226" s="15">
        <f t="shared" si="196"/>
        <v>0</v>
      </c>
      <c r="BY226" s="15">
        <f t="shared" si="197"/>
        <v>0</v>
      </c>
      <c r="BZ226" s="1" t="e">
        <f t="shared" si="209"/>
        <v>#DIV/0!</v>
      </c>
      <c r="CA226" s="78"/>
      <c r="CG226" s="15">
        <f>COUNTIF(CB226:CF226,"PR")</f>
        <v>0</v>
      </c>
      <c r="CH226" s="15">
        <f>COUNTIF(CB226:CF226,"AB")</f>
        <v>0</v>
      </c>
      <c r="CI226" s="15">
        <f t="shared" si="220"/>
        <v>0</v>
      </c>
      <c r="CN226" s="15">
        <f>COUNTIF(CJ226:CM226,"PR")</f>
        <v>0</v>
      </c>
      <c r="CO226" s="15">
        <f>COUNTIF(CJ226:CM226,"AB")</f>
        <v>0</v>
      </c>
      <c r="CP226" s="15">
        <f t="shared" si="221"/>
        <v>0</v>
      </c>
      <c r="CU226" s="15">
        <f t="shared" si="206"/>
        <v>0</v>
      </c>
      <c r="CV226" s="15">
        <f t="shared" si="198"/>
        <v>0</v>
      </c>
      <c r="CW226" s="15">
        <f t="shared" si="199"/>
        <v>0</v>
      </c>
      <c r="CX226" s="15">
        <f>CG226+CN226+CU226</f>
        <v>0</v>
      </c>
      <c r="CY226" s="15" t="e">
        <f>SUM(CE226,#REF!,CS226)</f>
        <v>#REF!</v>
      </c>
      <c r="CZ226" s="1" t="e">
        <f t="shared" si="210"/>
        <v>#REF!</v>
      </c>
      <c r="DA226" s="78"/>
    </row>
    <row r="227" spans="1:105">
      <c r="A227" s="91"/>
      <c r="B227" s="14"/>
      <c r="H227" s="15">
        <f t="shared" si="191"/>
        <v>0</v>
      </c>
      <c r="I227" s="18">
        <f t="shared" si="187"/>
        <v>0</v>
      </c>
      <c r="J227" s="15">
        <f t="shared" si="188"/>
        <v>0</v>
      </c>
      <c r="O227" s="15">
        <f t="shared" si="200"/>
        <v>0</v>
      </c>
      <c r="P227" s="18">
        <f t="shared" si="189"/>
        <v>0</v>
      </c>
      <c r="Q227" s="15">
        <f t="shared" si="190"/>
        <v>0</v>
      </c>
      <c r="V227" s="15">
        <f t="shared" si="192"/>
        <v>0</v>
      </c>
      <c r="W227" s="15">
        <f t="shared" si="193"/>
        <v>0</v>
      </c>
      <c r="X227" s="15">
        <f t="shared" si="223"/>
        <v>0</v>
      </c>
      <c r="Y227" s="15">
        <f>J227+Q227+X227</f>
        <v>0</v>
      </c>
      <c r="Z227" s="15">
        <f>SUM(H227,O227,V227)</f>
        <v>0</v>
      </c>
      <c r="AA227" s="78" t="e">
        <f t="shared" si="207"/>
        <v>#DIV/0!</v>
      </c>
      <c r="AB227" s="78"/>
      <c r="AG227" s="15">
        <f t="shared" si="201"/>
        <v>0</v>
      </c>
      <c r="AH227" s="15">
        <f t="shared" si="211"/>
        <v>0</v>
      </c>
      <c r="AI227" s="15">
        <f t="shared" si="212"/>
        <v>0</v>
      </c>
      <c r="AO227" s="15">
        <f t="shared" si="202"/>
        <v>0</v>
      </c>
      <c r="AP227" s="15">
        <f t="shared" si="213"/>
        <v>0</v>
      </c>
      <c r="AQ227" s="15">
        <f t="shared" si="214"/>
        <v>0</v>
      </c>
      <c r="AV227" s="15">
        <f>COUNTIF(AR227:AU227,"PR")</f>
        <v>0</v>
      </c>
      <c r="AW227" s="15">
        <f t="shared" si="194"/>
        <v>0</v>
      </c>
      <c r="AX227" s="15">
        <f t="shared" si="222"/>
        <v>0</v>
      </c>
      <c r="AY227" s="15">
        <f>AI227+AQ227+AX227</f>
        <v>0</v>
      </c>
      <c r="AZ227" s="15">
        <f>SUM(AG227,AO227,AV227)</f>
        <v>0</v>
      </c>
      <c r="BA227" s="78" t="e">
        <f t="shared" si="208"/>
        <v>#DIV/0!</v>
      </c>
      <c r="BD227" s="1"/>
      <c r="BF227" s="15">
        <f t="shared" si="203"/>
        <v>0</v>
      </c>
      <c r="BG227" s="15">
        <f t="shared" si="215"/>
        <v>0</v>
      </c>
      <c r="BH227" s="15">
        <f t="shared" si="216"/>
        <v>0</v>
      </c>
      <c r="BN227" s="15">
        <f t="shared" si="204"/>
        <v>0</v>
      </c>
      <c r="BO227" s="15">
        <f t="shared" si="195"/>
        <v>0</v>
      </c>
      <c r="BP227" s="15">
        <f t="shared" si="217"/>
        <v>0</v>
      </c>
      <c r="BU227" s="15">
        <f t="shared" si="205"/>
        <v>0</v>
      </c>
      <c r="BV227" s="15">
        <f t="shared" si="218"/>
        <v>0</v>
      </c>
      <c r="BW227" s="15">
        <f t="shared" si="219"/>
        <v>0</v>
      </c>
      <c r="BX227" s="15">
        <f t="shared" si="196"/>
        <v>0</v>
      </c>
      <c r="BY227" s="15">
        <f t="shared" si="197"/>
        <v>0</v>
      </c>
      <c r="BZ227" s="1" t="e">
        <f t="shared" si="209"/>
        <v>#DIV/0!</v>
      </c>
      <c r="CA227" s="78"/>
      <c r="CG227" s="15">
        <f>COUNTIF(CB227:CF227,"PR")</f>
        <v>0</v>
      </c>
      <c r="CH227" s="15">
        <f>COUNTIF(CB227:CF227,"AB")</f>
        <v>0</v>
      </c>
      <c r="CI227" s="15">
        <f t="shared" si="220"/>
        <v>0</v>
      </c>
      <c r="CN227" s="15">
        <f>COUNTIF(CJ227:CM227,"PR")</f>
        <v>0</v>
      </c>
      <c r="CO227" s="15">
        <f>COUNTIF(CJ227:CM227,"AB")</f>
        <v>0</v>
      </c>
      <c r="CP227" s="15">
        <f t="shared" si="221"/>
        <v>0</v>
      </c>
      <c r="CU227" s="15">
        <f t="shared" si="206"/>
        <v>0</v>
      </c>
      <c r="CV227" s="15">
        <f t="shared" si="198"/>
        <v>0</v>
      </c>
      <c r="CW227" s="15">
        <f t="shared" si="199"/>
        <v>0</v>
      </c>
      <c r="CX227" s="15">
        <f>CG227+CN227+CU227</f>
        <v>0</v>
      </c>
      <c r="CY227" s="15" t="e">
        <f>SUM(CE227,#REF!,CS227)</f>
        <v>#REF!</v>
      </c>
      <c r="CZ227" s="1" t="e">
        <f t="shared" si="210"/>
        <v>#REF!</v>
      </c>
      <c r="DA227" s="78"/>
    </row>
    <row r="228" spans="1:105">
      <c r="A228" s="91"/>
      <c r="B228" s="14"/>
      <c r="H228" s="15">
        <f t="shared" si="191"/>
        <v>0</v>
      </c>
      <c r="I228" s="18">
        <f t="shared" si="187"/>
        <v>0</v>
      </c>
      <c r="J228" s="15">
        <f t="shared" si="188"/>
        <v>0</v>
      </c>
      <c r="O228" s="15">
        <f t="shared" si="200"/>
        <v>0</v>
      </c>
      <c r="P228" s="18">
        <f t="shared" si="189"/>
        <v>0</v>
      </c>
      <c r="Q228" s="15">
        <f t="shared" si="190"/>
        <v>0</v>
      </c>
      <c r="V228" s="15">
        <f t="shared" si="192"/>
        <v>0</v>
      </c>
      <c r="W228" s="15">
        <f t="shared" si="193"/>
        <v>0</v>
      </c>
      <c r="X228" s="15">
        <f t="shared" si="223"/>
        <v>0</v>
      </c>
      <c r="Y228" s="15">
        <f>J228+Q228+X228</f>
        <v>0</v>
      </c>
      <c r="Z228" s="15">
        <f>SUM(H228,O228,V228)</f>
        <v>0</v>
      </c>
      <c r="AA228" s="78" t="e">
        <f t="shared" si="207"/>
        <v>#DIV/0!</v>
      </c>
      <c r="AB228" s="78"/>
      <c r="AG228" s="15">
        <f t="shared" si="201"/>
        <v>0</v>
      </c>
      <c r="AH228" s="15">
        <f t="shared" si="211"/>
        <v>0</v>
      </c>
      <c r="AI228" s="15">
        <f t="shared" si="212"/>
        <v>0</v>
      </c>
      <c r="AO228" s="15">
        <f t="shared" si="202"/>
        <v>0</v>
      </c>
      <c r="AP228" s="15">
        <f t="shared" si="213"/>
        <v>0</v>
      </c>
      <c r="AQ228" s="15">
        <f t="shared" si="214"/>
        <v>0</v>
      </c>
      <c r="AV228" s="15">
        <f>COUNTIF(AR228:AU228,"PR")</f>
        <v>0</v>
      </c>
      <c r="AW228" s="15">
        <f t="shared" si="194"/>
        <v>0</v>
      </c>
      <c r="AX228" s="15">
        <f t="shared" si="222"/>
        <v>0</v>
      </c>
      <c r="AY228" s="15">
        <f>AI228+AQ228+AX228</f>
        <v>0</v>
      </c>
      <c r="AZ228" s="15">
        <f>SUM(AG228,AO228,AV228)</f>
        <v>0</v>
      </c>
      <c r="BA228" s="78" t="e">
        <f t="shared" si="208"/>
        <v>#DIV/0!</v>
      </c>
      <c r="BD228" s="1"/>
      <c r="BF228" s="15">
        <f t="shared" si="203"/>
        <v>0</v>
      </c>
      <c r="BG228" s="15">
        <f t="shared" si="215"/>
        <v>0</v>
      </c>
      <c r="BH228" s="15">
        <f t="shared" si="216"/>
        <v>0</v>
      </c>
      <c r="BN228" s="15">
        <f t="shared" si="204"/>
        <v>0</v>
      </c>
      <c r="BO228" s="15">
        <f t="shared" si="195"/>
        <v>0</v>
      </c>
      <c r="BP228" s="15">
        <f t="shared" si="217"/>
        <v>0</v>
      </c>
      <c r="BU228" s="15">
        <f t="shared" si="205"/>
        <v>0</v>
      </c>
      <c r="BV228" s="15">
        <f t="shared" si="218"/>
        <v>0</v>
      </c>
      <c r="BW228" s="15">
        <f t="shared" si="219"/>
        <v>0</v>
      </c>
      <c r="BX228" s="15">
        <f t="shared" si="196"/>
        <v>0</v>
      </c>
      <c r="BY228" s="15">
        <f t="shared" si="197"/>
        <v>0</v>
      </c>
      <c r="BZ228" s="1" t="e">
        <f t="shared" si="209"/>
        <v>#DIV/0!</v>
      </c>
      <c r="CA228" s="78"/>
      <c r="CG228" s="15">
        <f>COUNTIF(CB228:CF228,"PR")</f>
        <v>0</v>
      </c>
      <c r="CH228" s="15">
        <f>COUNTIF(CB228:CF228,"AB")</f>
        <v>0</v>
      </c>
      <c r="CI228" s="15">
        <f t="shared" si="220"/>
        <v>0</v>
      </c>
      <c r="CN228" s="15">
        <f>COUNTIF(CJ228:CM228,"PR")</f>
        <v>0</v>
      </c>
      <c r="CO228" s="15">
        <f>COUNTIF(CJ228:CM228,"AB")</f>
        <v>0</v>
      </c>
      <c r="CP228" s="15">
        <f t="shared" si="221"/>
        <v>0</v>
      </c>
      <c r="CU228" s="15">
        <f t="shared" si="206"/>
        <v>0</v>
      </c>
      <c r="CV228" s="15">
        <f t="shared" si="198"/>
        <v>0</v>
      </c>
      <c r="CW228" s="15">
        <f t="shared" si="199"/>
        <v>0</v>
      </c>
      <c r="CX228" s="15">
        <f>CG228+CN228+CU228</f>
        <v>0</v>
      </c>
      <c r="CY228" s="15" t="e">
        <f>SUM(CE228,#REF!,CS228)</f>
        <v>#REF!</v>
      </c>
      <c r="CZ228" s="1" t="e">
        <f t="shared" si="210"/>
        <v>#REF!</v>
      </c>
      <c r="DA228" s="78"/>
    </row>
    <row r="229" spans="1:105">
      <c r="A229" s="91"/>
      <c r="B229" s="14"/>
      <c r="H229" s="15">
        <f t="shared" si="191"/>
        <v>0</v>
      </c>
      <c r="I229" s="18">
        <f t="shared" si="187"/>
        <v>0</v>
      </c>
      <c r="J229" s="15">
        <f t="shared" si="188"/>
        <v>0</v>
      </c>
      <c r="O229" s="15">
        <f t="shared" si="200"/>
        <v>0</v>
      </c>
      <c r="P229" s="18">
        <f t="shared" si="189"/>
        <v>0</v>
      </c>
      <c r="Q229" s="15">
        <f t="shared" si="190"/>
        <v>0</v>
      </c>
      <c r="V229" s="15">
        <f t="shared" si="192"/>
        <v>0</v>
      </c>
      <c r="W229" s="15">
        <f t="shared" si="193"/>
        <v>0</v>
      </c>
      <c r="X229" s="15">
        <f t="shared" si="223"/>
        <v>0</v>
      </c>
      <c r="Y229" s="15">
        <f>J229+Q229+X229</f>
        <v>0</v>
      </c>
      <c r="Z229" s="15">
        <f>SUM(H229,O229,V229)</f>
        <v>0</v>
      </c>
      <c r="AA229" s="78" t="e">
        <f t="shared" si="207"/>
        <v>#DIV/0!</v>
      </c>
      <c r="AB229" s="78"/>
      <c r="AG229" s="15">
        <f t="shared" si="201"/>
        <v>0</v>
      </c>
      <c r="AH229" s="15">
        <f t="shared" si="211"/>
        <v>0</v>
      </c>
      <c r="AI229" s="15">
        <f t="shared" si="212"/>
        <v>0</v>
      </c>
      <c r="AO229" s="15">
        <f t="shared" si="202"/>
        <v>0</v>
      </c>
      <c r="AP229" s="15">
        <f t="shared" si="213"/>
        <v>0</v>
      </c>
      <c r="AQ229" s="15">
        <f t="shared" si="214"/>
        <v>0</v>
      </c>
      <c r="AV229" s="15">
        <f>COUNTIF(AR229:AU229,"PR")</f>
        <v>0</v>
      </c>
      <c r="AW229" s="15">
        <f t="shared" si="194"/>
        <v>0</v>
      </c>
      <c r="AX229" s="15">
        <f t="shared" si="222"/>
        <v>0</v>
      </c>
      <c r="AY229" s="15">
        <f>AI229+AQ229+AX229</f>
        <v>0</v>
      </c>
      <c r="AZ229" s="15">
        <f>SUM(AG229,AO229,AV229)</f>
        <v>0</v>
      </c>
      <c r="BA229" s="78" t="e">
        <f t="shared" si="208"/>
        <v>#DIV/0!</v>
      </c>
      <c r="BD229" s="1"/>
      <c r="BF229" s="15">
        <f t="shared" si="203"/>
        <v>0</v>
      </c>
      <c r="BG229" s="15">
        <f t="shared" si="215"/>
        <v>0</v>
      </c>
      <c r="BH229" s="15">
        <f t="shared" si="216"/>
        <v>0</v>
      </c>
      <c r="BN229" s="15">
        <f t="shared" si="204"/>
        <v>0</v>
      </c>
      <c r="BO229" s="15">
        <f t="shared" si="195"/>
        <v>0</v>
      </c>
      <c r="BP229" s="15">
        <f t="shared" si="217"/>
        <v>0</v>
      </c>
      <c r="BU229" s="15">
        <f t="shared" si="205"/>
        <v>0</v>
      </c>
      <c r="BV229" s="15">
        <f t="shared" si="218"/>
        <v>0</v>
      </c>
      <c r="BW229" s="15">
        <f t="shared" si="219"/>
        <v>0</v>
      </c>
      <c r="BX229" s="15">
        <f t="shared" si="196"/>
        <v>0</v>
      </c>
      <c r="BY229" s="15">
        <f t="shared" si="197"/>
        <v>0</v>
      </c>
      <c r="BZ229" s="1" t="e">
        <f t="shared" si="209"/>
        <v>#DIV/0!</v>
      </c>
      <c r="CA229" s="78"/>
      <c r="CG229" s="15">
        <f>COUNTIF(CB229:CF229,"PR")</f>
        <v>0</v>
      </c>
      <c r="CH229" s="15">
        <f>COUNTIF(CB229:CF229,"AB")</f>
        <v>0</v>
      </c>
      <c r="CI229" s="15">
        <f t="shared" si="220"/>
        <v>0</v>
      </c>
      <c r="CN229" s="15">
        <f>COUNTIF(CJ229:CM229,"PR")</f>
        <v>0</v>
      </c>
      <c r="CO229" s="15">
        <f>COUNTIF(CJ229:CM229,"AB")</f>
        <v>0</v>
      </c>
      <c r="CP229" s="15">
        <f t="shared" si="221"/>
        <v>0</v>
      </c>
      <c r="CU229" s="15">
        <f t="shared" si="206"/>
        <v>0</v>
      </c>
      <c r="CV229" s="15">
        <f t="shared" si="198"/>
        <v>0</v>
      </c>
      <c r="CW229" s="15">
        <f t="shared" si="199"/>
        <v>0</v>
      </c>
      <c r="CX229" s="15">
        <f>CG229+CN229+CU229</f>
        <v>0</v>
      </c>
      <c r="CY229" s="15" t="e">
        <f>SUM(CE229,#REF!,CS229)</f>
        <v>#REF!</v>
      </c>
      <c r="CZ229" s="1" t="e">
        <f t="shared" si="210"/>
        <v>#REF!</v>
      </c>
      <c r="DA229" s="78"/>
    </row>
    <row r="230" spans="1:105">
      <c r="A230" s="91"/>
      <c r="B230" s="14"/>
      <c r="H230" s="15">
        <f t="shared" si="191"/>
        <v>0</v>
      </c>
      <c r="I230" s="18">
        <f t="shared" si="187"/>
        <v>0</v>
      </c>
      <c r="J230" s="15">
        <f t="shared" si="188"/>
        <v>0</v>
      </c>
      <c r="O230" s="15">
        <f t="shared" si="200"/>
        <v>0</v>
      </c>
      <c r="P230" s="18">
        <f t="shared" si="189"/>
        <v>0</v>
      </c>
      <c r="Q230" s="15">
        <f t="shared" si="190"/>
        <v>0</v>
      </c>
      <c r="V230" s="15">
        <f t="shared" si="192"/>
        <v>0</v>
      </c>
      <c r="W230" s="15">
        <f t="shared" si="193"/>
        <v>0</v>
      </c>
      <c r="X230" s="15">
        <f t="shared" si="223"/>
        <v>0</v>
      </c>
      <c r="Y230" s="15">
        <f>J230+Q230+X230</f>
        <v>0</v>
      </c>
      <c r="Z230" s="15">
        <f>SUM(H230,O230,V230)</f>
        <v>0</v>
      </c>
      <c r="AA230" s="78" t="e">
        <f t="shared" si="207"/>
        <v>#DIV/0!</v>
      </c>
      <c r="AB230" s="78"/>
      <c r="AG230" s="15">
        <f t="shared" si="201"/>
        <v>0</v>
      </c>
      <c r="AH230" s="15">
        <f t="shared" si="211"/>
        <v>0</v>
      </c>
      <c r="AI230" s="15">
        <f t="shared" si="212"/>
        <v>0</v>
      </c>
      <c r="AO230" s="15">
        <f t="shared" si="202"/>
        <v>0</v>
      </c>
      <c r="AP230" s="15">
        <f t="shared" si="213"/>
        <v>0</v>
      </c>
      <c r="AQ230" s="15">
        <f t="shared" si="214"/>
        <v>0</v>
      </c>
      <c r="AV230" s="15">
        <f>COUNTIF(AR230:AU230,"PR")</f>
        <v>0</v>
      </c>
      <c r="AW230" s="15">
        <f t="shared" si="194"/>
        <v>0</v>
      </c>
      <c r="AX230" s="15">
        <f t="shared" si="222"/>
        <v>0</v>
      </c>
      <c r="AY230" s="15">
        <f>AI230+AQ230+AX230</f>
        <v>0</v>
      </c>
      <c r="AZ230" s="15">
        <f>SUM(AG230,AO230,AV230)</f>
        <v>0</v>
      </c>
      <c r="BA230" s="78" t="e">
        <f t="shared" si="208"/>
        <v>#DIV/0!</v>
      </c>
      <c r="BD230" s="1"/>
      <c r="BF230" s="15">
        <f t="shared" si="203"/>
        <v>0</v>
      </c>
      <c r="BG230" s="15">
        <f t="shared" si="215"/>
        <v>0</v>
      </c>
      <c r="BH230" s="15">
        <f t="shared" si="216"/>
        <v>0</v>
      </c>
      <c r="BN230" s="15">
        <f t="shared" si="204"/>
        <v>0</v>
      </c>
      <c r="BO230" s="15">
        <f t="shared" si="195"/>
        <v>0</v>
      </c>
      <c r="BP230" s="15">
        <f t="shared" si="217"/>
        <v>0</v>
      </c>
      <c r="BU230" s="15">
        <f t="shared" si="205"/>
        <v>0</v>
      </c>
      <c r="BV230" s="15">
        <f t="shared" si="218"/>
        <v>0</v>
      </c>
      <c r="BW230" s="15">
        <f t="shared" si="219"/>
        <v>0</v>
      </c>
      <c r="BX230" s="15">
        <f t="shared" si="196"/>
        <v>0</v>
      </c>
      <c r="BY230" s="15">
        <f t="shared" si="197"/>
        <v>0</v>
      </c>
      <c r="BZ230" s="1" t="e">
        <f t="shared" si="209"/>
        <v>#DIV/0!</v>
      </c>
      <c r="CA230" s="78"/>
      <c r="CG230" s="15">
        <f>COUNTIF(CB230:CF230,"PR")</f>
        <v>0</v>
      </c>
      <c r="CH230" s="15">
        <f>COUNTIF(CB230:CF230,"AB")</f>
        <v>0</v>
      </c>
      <c r="CI230" s="15">
        <f t="shared" si="220"/>
        <v>0</v>
      </c>
      <c r="CN230" s="15">
        <f>COUNTIF(CJ230:CM230,"PR")</f>
        <v>0</v>
      </c>
      <c r="CO230" s="15">
        <f>COUNTIF(CJ230:CM230,"AB")</f>
        <v>0</v>
      </c>
      <c r="CP230" s="15">
        <f t="shared" si="221"/>
        <v>0</v>
      </c>
      <c r="CU230" s="15">
        <f t="shared" si="206"/>
        <v>0</v>
      </c>
      <c r="CV230" s="15">
        <f t="shared" si="198"/>
        <v>0</v>
      </c>
      <c r="CW230" s="15">
        <f t="shared" si="199"/>
        <v>0</v>
      </c>
      <c r="CX230" s="15">
        <f>CG230+CN230+CU230</f>
        <v>0</v>
      </c>
      <c r="CY230" s="15" t="e">
        <f>SUM(CE230,#REF!,CS230)</f>
        <v>#REF!</v>
      </c>
      <c r="CZ230" s="1" t="e">
        <f t="shared" si="210"/>
        <v>#REF!</v>
      </c>
      <c r="DA230" s="78"/>
    </row>
    <row r="231" spans="1:105">
      <c r="A231" s="91"/>
      <c r="B231" s="14"/>
      <c r="H231" s="15">
        <f t="shared" si="191"/>
        <v>0</v>
      </c>
      <c r="I231" s="18">
        <f t="shared" si="187"/>
        <v>0</v>
      </c>
      <c r="J231" s="15">
        <f t="shared" si="188"/>
        <v>0</v>
      </c>
      <c r="O231" s="15">
        <f t="shared" si="200"/>
        <v>0</v>
      </c>
      <c r="P231" s="18">
        <f t="shared" si="189"/>
        <v>0</v>
      </c>
      <c r="Q231" s="15">
        <f t="shared" si="190"/>
        <v>0</v>
      </c>
      <c r="V231" s="15">
        <f t="shared" si="192"/>
        <v>0</v>
      </c>
      <c r="W231" s="15">
        <f t="shared" si="193"/>
        <v>0</v>
      </c>
      <c r="X231" s="15">
        <f t="shared" si="223"/>
        <v>0</v>
      </c>
      <c r="Y231" s="15">
        <f>J231+Q231+X231</f>
        <v>0</v>
      </c>
      <c r="Z231" s="15">
        <f>SUM(H231,O231,V231)</f>
        <v>0</v>
      </c>
      <c r="AA231" s="78" t="e">
        <f t="shared" si="207"/>
        <v>#DIV/0!</v>
      </c>
      <c r="AB231" s="78"/>
      <c r="AG231" s="15">
        <f t="shared" si="201"/>
        <v>0</v>
      </c>
      <c r="AH231" s="15">
        <f t="shared" si="211"/>
        <v>0</v>
      </c>
      <c r="AI231" s="15">
        <f t="shared" si="212"/>
        <v>0</v>
      </c>
      <c r="AO231" s="15">
        <f t="shared" si="202"/>
        <v>0</v>
      </c>
      <c r="AP231" s="15">
        <f t="shared" si="213"/>
        <v>0</v>
      </c>
      <c r="AQ231" s="15">
        <f t="shared" si="214"/>
        <v>0</v>
      </c>
      <c r="AV231" s="15">
        <f>COUNTIF(AR231:AU231,"PR")</f>
        <v>0</v>
      </c>
      <c r="AW231" s="15">
        <f t="shared" si="194"/>
        <v>0</v>
      </c>
      <c r="AX231" s="15">
        <f t="shared" si="222"/>
        <v>0</v>
      </c>
      <c r="AY231" s="15">
        <f>AI231+AQ231+AX231</f>
        <v>0</v>
      </c>
      <c r="AZ231" s="15">
        <f>SUM(AG231,AO231,AV231)</f>
        <v>0</v>
      </c>
      <c r="BA231" s="78" t="e">
        <f t="shared" si="208"/>
        <v>#DIV/0!</v>
      </c>
      <c r="BD231" s="1"/>
      <c r="BF231" s="15">
        <f t="shared" si="203"/>
        <v>0</v>
      </c>
      <c r="BG231" s="15">
        <f t="shared" si="215"/>
        <v>0</v>
      </c>
      <c r="BH231" s="15">
        <f t="shared" si="216"/>
        <v>0</v>
      </c>
      <c r="BN231" s="15">
        <f t="shared" si="204"/>
        <v>0</v>
      </c>
      <c r="BO231" s="15">
        <f t="shared" si="195"/>
        <v>0</v>
      </c>
      <c r="BP231" s="15">
        <f t="shared" si="217"/>
        <v>0</v>
      </c>
      <c r="BU231" s="15">
        <f t="shared" si="205"/>
        <v>0</v>
      </c>
      <c r="BV231" s="15">
        <f t="shared" si="218"/>
        <v>0</v>
      </c>
      <c r="BW231" s="15">
        <f t="shared" si="219"/>
        <v>0</v>
      </c>
      <c r="BX231" s="15">
        <f t="shared" si="196"/>
        <v>0</v>
      </c>
      <c r="BY231" s="15">
        <f t="shared" si="197"/>
        <v>0</v>
      </c>
      <c r="BZ231" s="1" t="e">
        <f t="shared" si="209"/>
        <v>#DIV/0!</v>
      </c>
      <c r="CA231" s="78"/>
      <c r="CG231" s="15">
        <f>COUNTIF(CB231:CF231,"PR")</f>
        <v>0</v>
      </c>
      <c r="CH231" s="15">
        <f>COUNTIF(CB231:CF231,"AB")</f>
        <v>0</v>
      </c>
      <c r="CI231" s="15">
        <f t="shared" si="220"/>
        <v>0</v>
      </c>
      <c r="CN231" s="15">
        <f>COUNTIF(CJ231:CM231,"PR")</f>
        <v>0</v>
      </c>
      <c r="CO231" s="15">
        <f>COUNTIF(CJ231:CM231,"AB")</f>
        <v>0</v>
      </c>
      <c r="CP231" s="15">
        <f t="shared" si="221"/>
        <v>0</v>
      </c>
      <c r="CU231" s="15">
        <f t="shared" si="206"/>
        <v>0</v>
      </c>
      <c r="CV231" s="15">
        <f t="shared" si="198"/>
        <v>0</v>
      </c>
      <c r="CW231" s="15">
        <f t="shared" si="199"/>
        <v>0</v>
      </c>
      <c r="CX231" s="15">
        <f>CG231+CN231+CU231</f>
        <v>0</v>
      </c>
      <c r="CY231" s="15" t="e">
        <f>SUM(CE231,#REF!,CS231)</f>
        <v>#REF!</v>
      </c>
      <c r="CZ231" s="1" t="e">
        <f t="shared" si="210"/>
        <v>#REF!</v>
      </c>
      <c r="DA231" s="78"/>
    </row>
    <row r="232" spans="1:105">
      <c r="A232" s="91"/>
      <c r="B232" s="14"/>
      <c r="H232" s="15">
        <f t="shared" si="191"/>
        <v>0</v>
      </c>
      <c r="I232" s="18">
        <f t="shared" si="187"/>
        <v>0</v>
      </c>
      <c r="J232" s="15">
        <f t="shared" si="188"/>
        <v>0</v>
      </c>
      <c r="O232" s="15">
        <f t="shared" si="200"/>
        <v>0</v>
      </c>
      <c r="P232" s="18">
        <f t="shared" si="189"/>
        <v>0</v>
      </c>
      <c r="Q232" s="15">
        <f t="shared" si="190"/>
        <v>0</v>
      </c>
      <c r="V232" s="15">
        <f t="shared" si="192"/>
        <v>0</v>
      </c>
      <c r="W232" s="15">
        <f t="shared" si="193"/>
        <v>0</v>
      </c>
      <c r="X232" s="15">
        <f t="shared" si="223"/>
        <v>0</v>
      </c>
      <c r="Y232" s="15">
        <f>J232+Q232+X232</f>
        <v>0</v>
      </c>
      <c r="Z232" s="15">
        <f>SUM(H232,O232,V232)</f>
        <v>0</v>
      </c>
      <c r="AA232" s="78" t="e">
        <f t="shared" si="207"/>
        <v>#DIV/0!</v>
      </c>
      <c r="AB232" s="78"/>
      <c r="AG232" s="15">
        <f t="shared" si="201"/>
        <v>0</v>
      </c>
      <c r="AH232" s="15">
        <f t="shared" si="211"/>
        <v>0</v>
      </c>
      <c r="AI232" s="15">
        <f t="shared" si="212"/>
        <v>0</v>
      </c>
      <c r="AO232" s="15">
        <f t="shared" si="202"/>
        <v>0</v>
      </c>
      <c r="AP232" s="15">
        <f t="shared" si="213"/>
        <v>0</v>
      </c>
      <c r="AQ232" s="15">
        <f t="shared" si="214"/>
        <v>0</v>
      </c>
      <c r="AV232" s="15">
        <f>COUNTIF(AR232:AU232,"PR")</f>
        <v>0</v>
      </c>
      <c r="AW232" s="15">
        <f t="shared" si="194"/>
        <v>0</v>
      </c>
      <c r="AX232" s="15">
        <f t="shared" si="222"/>
        <v>0</v>
      </c>
      <c r="AY232" s="15">
        <f>AI232+AQ232+AX232</f>
        <v>0</v>
      </c>
      <c r="AZ232" s="15">
        <f>SUM(AG232,AO232,AV232)</f>
        <v>0</v>
      </c>
      <c r="BA232" s="78" t="e">
        <f t="shared" si="208"/>
        <v>#DIV/0!</v>
      </c>
      <c r="BD232" s="1"/>
      <c r="BF232" s="15">
        <f t="shared" si="203"/>
        <v>0</v>
      </c>
      <c r="BG232" s="15">
        <f t="shared" si="215"/>
        <v>0</v>
      </c>
      <c r="BH232" s="15">
        <f t="shared" si="216"/>
        <v>0</v>
      </c>
      <c r="BN232" s="15">
        <f t="shared" si="204"/>
        <v>0</v>
      </c>
      <c r="BO232" s="15">
        <f t="shared" si="195"/>
        <v>0</v>
      </c>
      <c r="BP232" s="15">
        <f t="shared" si="217"/>
        <v>0</v>
      </c>
      <c r="BU232" s="15">
        <f t="shared" si="205"/>
        <v>0</v>
      </c>
      <c r="BV232" s="15">
        <f t="shared" si="218"/>
        <v>0</v>
      </c>
      <c r="BW232" s="15">
        <f t="shared" si="219"/>
        <v>0</v>
      </c>
      <c r="BX232" s="15">
        <f t="shared" si="196"/>
        <v>0</v>
      </c>
      <c r="BY232" s="15">
        <f t="shared" si="197"/>
        <v>0</v>
      </c>
      <c r="BZ232" s="1" t="e">
        <f t="shared" si="209"/>
        <v>#DIV/0!</v>
      </c>
      <c r="CA232" s="78"/>
      <c r="CG232" s="15">
        <f>COUNTIF(CB232:CF232,"PR")</f>
        <v>0</v>
      </c>
      <c r="CH232" s="15">
        <f>COUNTIF(CB232:CF232,"AB")</f>
        <v>0</v>
      </c>
      <c r="CI232" s="15">
        <f t="shared" si="220"/>
        <v>0</v>
      </c>
      <c r="CN232" s="15">
        <f>COUNTIF(CJ232:CM232,"PR")</f>
        <v>0</v>
      </c>
      <c r="CO232" s="15">
        <f>COUNTIF(CJ232:CM232,"AB")</f>
        <v>0</v>
      </c>
      <c r="CP232" s="15">
        <f t="shared" si="221"/>
        <v>0</v>
      </c>
      <c r="CU232" s="15">
        <f t="shared" si="206"/>
        <v>0</v>
      </c>
      <c r="CV232" s="15">
        <f t="shared" si="198"/>
        <v>0</v>
      </c>
      <c r="CW232" s="15">
        <f t="shared" si="199"/>
        <v>0</v>
      </c>
      <c r="CX232" s="15">
        <f>CG232+CN232+CU232</f>
        <v>0</v>
      </c>
      <c r="CY232" s="15" t="e">
        <f>SUM(CE232,#REF!,CS232)</f>
        <v>#REF!</v>
      </c>
      <c r="CZ232" s="1" t="e">
        <f t="shared" si="210"/>
        <v>#REF!</v>
      </c>
      <c r="DA232" s="78"/>
    </row>
    <row r="233" spans="1:105">
      <c r="A233" s="91"/>
      <c r="B233" s="14"/>
      <c r="H233" s="15">
        <f t="shared" si="191"/>
        <v>0</v>
      </c>
      <c r="I233" s="18">
        <f t="shared" si="187"/>
        <v>0</v>
      </c>
      <c r="J233" s="15">
        <f t="shared" si="188"/>
        <v>0</v>
      </c>
      <c r="O233" s="15">
        <f t="shared" si="200"/>
        <v>0</v>
      </c>
      <c r="P233" s="18">
        <f t="shared" si="189"/>
        <v>0</v>
      </c>
      <c r="Q233" s="15">
        <f t="shared" si="190"/>
        <v>0</v>
      </c>
      <c r="V233" s="15">
        <f t="shared" si="192"/>
        <v>0</v>
      </c>
      <c r="W233" s="15">
        <f t="shared" si="193"/>
        <v>0</v>
      </c>
      <c r="X233" s="15">
        <f t="shared" si="223"/>
        <v>0</v>
      </c>
      <c r="Y233" s="15">
        <f>J233+Q233+X233</f>
        <v>0</v>
      </c>
      <c r="Z233" s="15">
        <f>SUM(H233,O233,V233)</f>
        <v>0</v>
      </c>
      <c r="AA233" s="78" t="e">
        <f t="shared" si="207"/>
        <v>#DIV/0!</v>
      </c>
      <c r="AB233" s="78"/>
      <c r="AC233" s="76"/>
      <c r="AD233" s="72"/>
      <c r="AE233" s="72"/>
      <c r="AF233" s="72"/>
      <c r="AG233" s="15">
        <f t="shared" si="201"/>
        <v>0</v>
      </c>
      <c r="AH233" s="15">
        <f t="shared" si="211"/>
        <v>0</v>
      </c>
      <c r="AI233" s="15">
        <f t="shared" si="212"/>
        <v>0</v>
      </c>
      <c r="AO233" s="15">
        <f t="shared" si="202"/>
        <v>0</v>
      </c>
      <c r="AP233" s="15">
        <f t="shared" si="213"/>
        <v>0</v>
      </c>
      <c r="AQ233" s="15">
        <f t="shared" si="214"/>
        <v>0</v>
      </c>
      <c r="AV233" s="15">
        <f>COUNTIF(AR233:AU233,"PR")</f>
        <v>0</v>
      </c>
      <c r="AW233" s="15">
        <f t="shared" si="194"/>
        <v>0</v>
      </c>
      <c r="AX233" s="15">
        <f t="shared" si="222"/>
        <v>0</v>
      </c>
      <c r="AY233" s="15">
        <f>AI233+AQ233+AX233</f>
        <v>0</v>
      </c>
      <c r="AZ233" s="15">
        <f>SUM(AG233,AO233,AV233)</f>
        <v>0</v>
      </c>
      <c r="BA233" s="78" t="e">
        <f t="shared" si="208"/>
        <v>#DIV/0!</v>
      </c>
      <c r="BD233" s="1"/>
      <c r="BF233" s="15">
        <f t="shared" si="203"/>
        <v>0</v>
      </c>
      <c r="BG233" s="15">
        <f t="shared" si="215"/>
        <v>0</v>
      </c>
      <c r="BH233" s="15">
        <f t="shared" si="216"/>
        <v>0</v>
      </c>
      <c r="BN233" s="15">
        <f t="shared" si="204"/>
        <v>0</v>
      </c>
      <c r="BO233" s="15">
        <f t="shared" si="195"/>
        <v>0</v>
      </c>
      <c r="BP233" s="15">
        <f t="shared" si="217"/>
        <v>0</v>
      </c>
      <c r="BU233" s="15">
        <f t="shared" si="205"/>
        <v>0</v>
      </c>
      <c r="BV233" s="15">
        <f t="shared" si="218"/>
        <v>0</v>
      </c>
      <c r="BW233" s="15">
        <f t="shared" si="219"/>
        <v>0</v>
      </c>
      <c r="BX233" s="15">
        <f t="shared" si="196"/>
        <v>0</v>
      </c>
      <c r="BY233" s="15">
        <f t="shared" si="197"/>
        <v>0</v>
      </c>
      <c r="BZ233" s="1" t="e">
        <f t="shared" si="209"/>
        <v>#DIV/0!</v>
      </c>
      <c r="CA233" s="78"/>
      <c r="CG233" s="15">
        <f>COUNTIF(CB233:CF233,"PR")</f>
        <v>0</v>
      </c>
      <c r="CH233" s="15">
        <f>COUNTIF(CB233:CF233,"AB")</f>
        <v>0</v>
      </c>
      <c r="CI233" s="15">
        <f t="shared" si="220"/>
        <v>0</v>
      </c>
      <c r="CN233" s="15">
        <f>COUNTIF(CJ233:CM233,"PR")</f>
        <v>0</v>
      </c>
      <c r="CO233" s="15">
        <f>COUNTIF(CJ233:CM233,"AB")</f>
        <v>0</v>
      </c>
      <c r="CP233" s="15">
        <f t="shared" si="221"/>
        <v>0</v>
      </c>
      <c r="CU233" s="15">
        <f t="shared" si="206"/>
        <v>0</v>
      </c>
      <c r="CV233" s="15">
        <f t="shared" si="198"/>
        <v>0</v>
      </c>
      <c r="CW233" s="15">
        <f t="shared" si="199"/>
        <v>0</v>
      </c>
      <c r="CX233" s="15">
        <f>CG233+CN233+CU233</f>
        <v>0</v>
      </c>
      <c r="CY233" s="15" t="e">
        <f>SUM(CE233,#REF!,CS233)</f>
        <v>#REF!</v>
      </c>
      <c r="CZ233" s="1" t="e">
        <f t="shared" si="210"/>
        <v>#REF!</v>
      </c>
      <c r="DA233" s="78"/>
    </row>
    <row r="234" spans="1:105">
      <c r="A234" s="91"/>
      <c r="B234" s="14"/>
      <c r="H234" s="15">
        <f t="shared" si="191"/>
        <v>0</v>
      </c>
      <c r="I234" s="18">
        <f t="shared" si="187"/>
        <v>0</v>
      </c>
      <c r="J234" s="15">
        <f t="shared" si="188"/>
        <v>0</v>
      </c>
      <c r="O234" s="15">
        <f t="shared" si="200"/>
        <v>0</v>
      </c>
      <c r="P234" s="18">
        <f t="shared" si="189"/>
        <v>0</v>
      </c>
      <c r="Q234" s="15">
        <f t="shared" si="190"/>
        <v>0</v>
      </c>
      <c r="V234" s="15">
        <f t="shared" si="192"/>
        <v>0</v>
      </c>
      <c r="W234" s="15">
        <f t="shared" si="193"/>
        <v>0</v>
      </c>
      <c r="X234" s="15">
        <f t="shared" si="223"/>
        <v>0</v>
      </c>
      <c r="Y234" s="15">
        <f>J234+Q234+X234</f>
        <v>0</v>
      </c>
      <c r="Z234" s="15">
        <f>SUM(H234,O234,V234)</f>
        <v>0</v>
      </c>
      <c r="AA234" s="78" t="e">
        <f t="shared" si="207"/>
        <v>#DIV/0!</v>
      </c>
      <c r="AB234" s="78"/>
      <c r="AG234" s="15">
        <f t="shared" si="201"/>
        <v>0</v>
      </c>
      <c r="AH234" s="15">
        <f t="shared" si="211"/>
        <v>0</v>
      </c>
      <c r="AI234" s="15">
        <f t="shared" si="212"/>
        <v>0</v>
      </c>
      <c r="AO234" s="15">
        <f t="shared" si="202"/>
        <v>0</v>
      </c>
      <c r="AP234" s="15">
        <f t="shared" si="213"/>
        <v>0</v>
      </c>
      <c r="AQ234" s="15">
        <f t="shared" si="214"/>
        <v>0</v>
      </c>
      <c r="AV234" s="15">
        <f>COUNTIF(AR234:AU234,"PR")</f>
        <v>0</v>
      </c>
      <c r="AW234" s="15">
        <f t="shared" si="194"/>
        <v>0</v>
      </c>
      <c r="AX234" s="15">
        <f t="shared" si="222"/>
        <v>0</v>
      </c>
      <c r="AY234" s="15">
        <f>AI234+AQ234+AX234</f>
        <v>0</v>
      </c>
      <c r="AZ234" s="15">
        <f>SUM(AG234,AO234,AV234)</f>
        <v>0</v>
      </c>
      <c r="BA234" s="78" t="e">
        <f t="shared" si="208"/>
        <v>#DIV/0!</v>
      </c>
      <c r="BD234" s="1"/>
      <c r="BF234" s="15">
        <f t="shared" si="203"/>
        <v>0</v>
      </c>
      <c r="BG234" s="15">
        <f t="shared" si="215"/>
        <v>0</v>
      </c>
      <c r="BH234" s="15">
        <f t="shared" si="216"/>
        <v>0</v>
      </c>
      <c r="BN234" s="15">
        <f t="shared" si="204"/>
        <v>0</v>
      </c>
      <c r="BO234" s="15">
        <f t="shared" si="195"/>
        <v>0</v>
      </c>
      <c r="BP234" s="15">
        <f t="shared" si="217"/>
        <v>0</v>
      </c>
      <c r="BU234" s="15">
        <f t="shared" si="205"/>
        <v>0</v>
      </c>
      <c r="BV234" s="15">
        <f t="shared" si="218"/>
        <v>0</v>
      </c>
      <c r="BW234" s="15">
        <f t="shared" si="219"/>
        <v>0</v>
      </c>
      <c r="BX234" s="15">
        <f t="shared" si="196"/>
        <v>0</v>
      </c>
      <c r="BY234" s="15">
        <f t="shared" si="197"/>
        <v>0</v>
      </c>
      <c r="BZ234" s="1" t="e">
        <f t="shared" si="209"/>
        <v>#DIV/0!</v>
      </c>
      <c r="CA234" s="78"/>
      <c r="CG234" s="15">
        <f>COUNTIF(CB234:CF234,"PR")</f>
        <v>0</v>
      </c>
      <c r="CH234" s="15">
        <f>COUNTIF(CB234:CF234,"AB")</f>
        <v>0</v>
      </c>
      <c r="CI234" s="15">
        <f t="shared" si="220"/>
        <v>0</v>
      </c>
      <c r="CN234" s="15">
        <f>COUNTIF(CJ234:CM234,"PR")</f>
        <v>0</v>
      </c>
      <c r="CO234" s="15">
        <f>COUNTIF(CJ234:CM234,"AB")</f>
        <v>0</v>
      </c>
      <c r="CP234" s="15">
        <f t="shared" si="221"/>
        <v>0</v>
      </c>
      <c r="CU234" s="15">
        <f t="shared" si="206"/>
        <v>0</v>
      </c>
      <c r="CV234" s="15">
        <f t="shared" si="198"/>
        <v>0</v>
      </c>
      <c r="CW234" s="15">
        <f t="shared" si="199"/>
        <v>0</v>
      </c>
      <c r="CX234" s="15">
        <f>CG234+CN234+CU234</f>
        <v>0</v>
      </c>
      <c r="CY234" s="15" t="e">
        <f>SUM(CE234,#REF!,CS234)</f>
        <v>#REF!</v>
      </c>
      <c r="CZ234" s="1" t="e">
        <f t="shared" si="210"/>
        <v>#REF!</v>
      </c>
      <c r="DA234" s="78"/>
    </row>
    <row r="235" spans="1:105">
      <c r="A235" s="91"/>
      <c r="B235" s="14"/>
      <c r="H235" s="15">
        <f t="shared" si="191"/>
        <v>0</v>
      </c>
      <c r="I235" s="18">
        <f t="shared" si="187"/>
        <v>0</v>
      </c>
      <c r="J235" s="15">
        <f t="shared" si="188"/>
        <v>0</v>
      </c>
      <c r="O235" s="15">
        <f t="shared" si="200"/>
        <v>0</v>
      </c>
      <c r="P235" s="18">
        <f t="shared" si="189"/>
        <v>0</v>
      </c>
      <c r="Q235" s="15">
        <f t="shared" si="190"/>
        <v>0</v>
      </c>
      <c r="V235" s="15">
        <f t="shared" si="192"/>
        <v>0</v>
      </c>
      <c r="W235" s="15">
        <f t="shared" si="193"/>
        <v>0</v>
      </c>
      <c r="X235" s="15">
        <f t="shared" si="223"/>
        <v>0</v>
      </c>
      <c r="Y235" s="15">
        <f>J235+Q235+X235</f>
        <v>0</v>
      </c>
      <c r="Z235" s="15">
        <f>SUM(H235,O235,V235)</f>
        <v>0</v>
      </c>
      <c r="AA235" s="78" t="e">
        <f t="shared" si="207"/>
        <v>#DIV/0!</v>
      </c>
      <c r="AB235" s="78"/>
      <c r="AG235" s="15">
        <f t="shared" si="201"/>
        <v>0</v>
      </c>
      <c r="AH235" s="15">
        <f t="shared" si="211"/>
        <v>0</v>
      </c>
      <c r="AI235" s="15">
        <f t="shared" si="212"/>
        <v>0</v>
      </c>
      <c r="AO235" s="15">
        <f t="shared" si="202"/>
        <v>0</v>
      </c>
      <c r="AP235" s="15">
        <f t="shared" si="213"/>
        <v>0</v>
      </c>
      <c r="AQ235" s="15">
        <f t="shared" si="214"/>
        <v>0</v>
      </c>
      <c r="AV235" s="15">
        <f>COUNTIF(AR235:AU235,"PR")</f>
        <v>0</v>
      </c>
      <c r="AW235" s="15">
        <f t="shared" si="194"/>
        <v>0</v>
      </c>
      <c r="AX235" s="15">
        <f t="shared" si="222"/>
        <v>0</v>
      </c>
      <c r="AY235" s="15">
        <f>AI235+AQ235+AX235</f>
        <v>0</v>
      </c>
      <c r="AZ235" s="15">
        <f>SUM(AG235,AO235,AV235)</f>
        <v>0</v>
      </c>
      <c r="BA235" s="78" t="e">
        <f t="shared" si="208"/>
        <v>#DIV/0!</v>
      </c>
      <c r="BD235" s="1"/>
      <c r="BF235" s="15">
        <f t="shared" si="203"/>
        <v>0</v>
      </c>
      <c r="BG235" s="15">
        <f t="shared" si="215"/>
        <v>0</v>
      </c>
      <c r="BH235" s="15">
        <f t="shared" si="216"/>
        <v>0</v>
      </c>
      <c r="BN235" s="15">
        <f t="shared" si="204"/>
        <v>0</v>
      </c>
      <c r="BO235" s="15">
        <f t="shared" si="195"/>
        <v>0</v>
      </c>
      <c r="BP235" s="15">
        <f t="shared" si="217"/>
        <v>0</v>
      </c>
      <c r="BU235" s="15">
        <f t="shared" si="205"/>
        <v>0</v>
      </c>
      <c r="BV235" s="15">
        <f t="shared" si="218"/>
        <v>0</v>
      </c>
      <c r="BW235" s="15">
        <f t="shared" si="219"/>
        <v>0</v>
      </c>
      <c r="BX235" s="15">
        <f t="shared" si="196"/>
        <v>0</v>
      </c>
      <c r="BY235" s="15">
        <f t="shared" si="197"/>
        <v>0</v>
      </c>
      <c r="BZ235" s="1" t="e">
        <f t="shared" si="209"/>
        <v>#DIV/0!</v>
      </c>
      <c r="CA235" s="78"/>
      <c r="CG235" s="15">
        <f>COUNTIF(CB235:CF235,"PR")</f>
        <v>0</v>
      </c>
      <c r="CH235" s="15">
        <f>COUNTIF(CB235:CF235,"AB")</f>
        <v>0</v>
      </c>
      <c r="CI235" s="15">
        <f t="shared" si="220"/>
        <v>0</v>
      </c>
      <c r="CN235" s="15">
        <f>COUNTIF(CJ235:CM235,"PR")</f>
        <v>0</v>
      </c>
      <c r="CO235" s="15">
        <f>COUNTIF(CJ235:CM235,"AB")</f>
        <v>0</v>
      </c>
      <c r="CP235" s="15">
        <f t="shared" si="221"/>
        <v>0</v>
      </c>
      <c r="CU235" s="15">
        <f t="shared" si="206"/>
        <v>0</v>
      </c>
      <c r="CV235" s="15">
        <f t="shared" si="198"/>
        <v>0</v>
      </c>
      <c r="CW235" s="15">
        <f t="shared" si="199"/>
        <v>0</v>
      </c>
      <c r="CX235" s="15">
        <f>CG235+CN235+CU235</f>
        <v>0</v>
      </c>
      <c r="CY235" s="15" t="e">
        <f>SUM(CE235,#REF!,CS235)</f>
        <v>#REF!</v>
      </c>
      <c r="CZ235" s="1" t="e">
        <f t="shared" si="210"/>
        <v>#REF!</v>
      </c>
      <c r="DA235" s="78"/>
    </row>
    <row r="236" spans="1:105">
      <c r="A236" s="91"/>
      <c r="B236" s="14"/>
      <c r="H236" s="15">
        <f t="shared" si="191"/>
        <v>0</v>
      </c>
      <c r="I236" s="18">
        <f t="shared" si="187"/>
        <v>0</v>
      </c>
      <c r="J236" s="15">
        <f t="shared" si="188"/>
        <v>0</v>
      </c>
      <c r="O236" s="15">
        <f t="shared" si="200"/>
        <v>0</v>
      </c>
      <c r="P236" s="18">
        <f t="shared" si="189"/>
        <v>0</v>
      </c>
      <c r="Q236" s="15">
        <f t="shared" si="190"/>
        <v>0</v>
      </c>
      <c r="V236" s="15">
        <f t="shared" si="192"/>
        <v>0</v>
      </c>
      <c r="W236" s="15">
        <f t="shared" si="193"/>
        <v>0</v>
      </c>
      <c r="X236" s="15">
        <f t="shared" si="223"/>
        <v>0</v>
      </c>
      <c r="Y236" s="15">
        <f>J236+Q236+X236</f>
        <v>0</v>
      </c>
      <c r="Z236" s="15">
        <f>SUM(H236,O236,V236)</f>
        <v>0</v>
      </c>
      <c r="AA236" s="78" t="e">
        <f t="shared" si="207"/>
        <v>#DIV/0!</v>
      </c>
      <c r="AB236" s="78"/>
      <c r="AG236" s="15">
        <f t="shared" si="201"/>
        <v>0</v>
      </c>
      <c r="AH236" s="15">
        <f t="shared" si="211"/>
        <v>0</v>
      </c>
      <c r="AI236" s="15">
        <f t="shared" si="212"/>
        <v>0</v>
      </c>
      <c r="AO236" s="15">
        <f t="shared" si="202"/>
        <v>0</v>
      </c>
      <c r="AP236" s="15">
        <f t="shared" si="213"/>
        <v>0</v>
      </c>
      <c r="AQ236" s="15">
        <f t="shared" si="214"/>
        <v>0</v>
      </c>
      <c r="AV236" s="15">
        <f>COUNTIF(AR236:AU236,"PR")</f>
        <v>0</v>
      </c>
      <c r="AW236" s="15">
        <f t="shared" si="194"/>
        <v>0</v>
      </c>
      <c r="AX236" s="15">
        <f t="shared" si="222"/>
        <v>0</v>
      </c>
      <c r="AY236" s="15">
        <f>AI236+AQ236+AX236</f>
        <v>0</v>
      </c>
      <c r="AZ236" s="15">
        <f>SUM(AG236,AO236,AV236)</f>
        <v>0</v>
      </c>
      <c r="BA236" s="78" t="e">
        <f t="shared" si="208"/>
        <v>#DIV/0!</v>
      </c>
      <c r="BD236" s="1"/>
      <c r="BF236" s="15">
        <f t="shared" si="203"/>
        <v>0</v>
      </c>
      <c r="BG236" s="15">
        <f t="shared" si="215"/>
        <v>0</v>
      </c>
      <c r="BH236" s="15">
        <f t="shared" si="216"/>
        <v>0</v>
      </c>
      <c r="BN236" s="15">
        <f t="shared" si="204"/>
        <v>0</v>
      </c>
      <c r="BO236" s="15">
        <f t="shared" si="195"/>
        <v>0</v>
      </c>
      <c r="BP236" s="15">
        <f t="shared" si="217"/>
        <v>0</v>
      </c>
      <c r="BU236" s="15">
        <f t="shared" si="205"/>
        <v>0</v>
      </c>
      <c r="BV236" s="15">
        <f t="shared" si="218"/>
        <v>0</v>
      </c>
      <c r="BW236" s="15">
        <f t="shared" si="219"/>
        <v>0</v>
      </c>
      <c r="BX236" s="15">
        <f t="shared" si="196"/>
        <v>0</v>
      </c>
      <c r="BY236" s="15">
        <f t="shared" si="197"/>
        <v>0</v>
      </c>
      <c r="BZ236" s="1" t="e">
        <f t="shared" si="209"/>
        <v>#DIV/0!</v>
      </c>
      <c r="CA236" s="78"/>
      <c r="CG236" s="15">
        <f>COUNTIF(CB236:CF236,"PR")</f>
        <v>0</v>
      </c>
      <c r="CH236" s="15">
        <f>COUNTIF(CB236:CF236,"AB")</f>
        <v>0</v>
      </c>
      <c r="CI236" s="15">
        <f t="shared" si="220"/>
        <v>0</v>
      </c>
      <c r="CN236" s="15">
        <f>COUNTIF(CJ236:CM236,"PR")</f>
        <v>0</v>
      </c>
      <c r="CO236" s="15">
        <f>COUNTIF(CJ236:CM236,"AB")</f>
        <v>0</v>
      </c>
      <c r="CP236" s="15">
        <f t="shared" si="221"/>
        <v>0</v>
      </c>
      <c r="CU236" s="15">
        <f t="shared" si="206"/>
        <v>0</v>
      </c>
      <c r="CV236" s="15">
        <f t="shared" si="198"/>
        <v>0</v>
      </c>
      <c r="CW236" s="15">
        <f t="shared" si="199"/>
        <v>0</v>
      </c>
      <c r="CX236" s="15">
        <f>CG236+CN236+CU236</f>
        <v>0</v>
      </c>
      <c r="CY236" s="15" t="e">
        <f>SUM(CE236,#REF!,CS236)</f>
        <v>#REF!</v>
      </c>
      <c r="CZ236" s="1" t="e">
        <f t="shared" si="210"/>
        <v>#REF!</v>
      </c>
      <c r="DA236" s="78"/>
    </row>
    <row r="237" spans="1:105">
      <c r="A237" s="91"/>
      <c r="B237" s="14"/>
      <c r="H237" s="15">
        <f t="shared" si="191"/>
        <v>0</v>
      </c>
      <c r="I237" s="18">
        <f t="shared" si="187"/>
        <v>0</v>
      </c>
      <c r="J237" s="15">
        <f t="shared" si="188"/>
        <v>0</v>
      </c>
      <c r="O237" s="15">
        <f t="shared" si="200"/>
        <v>0</v>
      </c>
      <c r="P237" s="18">
        <f t="shared" si="189"/>
        <v>0</v>
      </c>
      <c r="Q237" s="15">
        <f t="shared" si="190"/>
        <v>0</v>
      </c>
      <c r="V237" s="15">
        <f t="shared" si="192"/>
        <v>0</v>
      </c>
      <c r="W237" s="15">
        <f t="shared" si="193"/>
        <v>0</v>
      </c>
      <c r="X237" s="15">
        <f t="shared" si="223"/>
        <v>0</v>
      </c>
      <c r="Y237" s="15">
        <f>J237+Q237+X237</f>
        <v>0</v>
      </c>
      <c r="Z237" s="15">
        <f>SUM(H237,O237,V237)</f>
        <v>0</v>
      </c>
      <c r="AA237" s="78" t="e">
        <f t="shared" si="207"/>
        <v>#DIV/0!</v>
      </c>
      <c r="AB237" s="78"/>
      <c r="AG237" s="15">
        <f t="shared" si="201"/>
        <v>0</v>
      </c>
      <c r="AH237" s="15">
        <f t="shared" si="211"/>
        <v>0</v>
      </c>
      <c r="AI237" s="15">
        <f t="shared" si="212"/>
        <v>0</v>
      </c>
      <c r="AO237" s="15">
        <f t="shared" si="202"/>
        <v>0</v>
      </c>
      <c r="AP237" s="15">
        <f t="shared" si="213"/>
        <v>0</v>
      </c>
      <c r="AQ237" s="15">
        <f t="shared" si="214"/>
        <v>0</v>
      </c>
      <c r="AV237" s="15">
        <f>COUNTIF(AR237:AU237,"PR")</f>
        <v>0</v>
      </c>
      <c r="AW237" s="15">
        <f t="shared" si="194"/>
        <v>0</v>
      </c>
      <c r="AX237" s="15">
        <f t="shared" si="222"/>
        <v>0</v>
      </c>
      <c r="AY237" s="15">
        <f>AI237+AQ237+AX237</f>
        <v>0</v>
      </c>
      <c r="AZ237" s="15">
        <f>SUM(AG237,AO237,AV237)</f>
        <v>0</v>
      </c>
      <c r="BA237" s="78" t="e">
        <f t="shared" si="208"/>
        <v>#DIV/0!</v>
      </c>
      <c r="BD237" s="1"/>
      <c r="BF237" s="15">
        <f t="shared" si="203"/>
        <v>0</v>
      </c>
      <c r="BG237" s="15">
        <f t="shared" si="215"/>
        <v>0</v>
      </c>
      <c r="BH237" s="15">
        <f t="shared" si="216"/>
        <v>0</v>
      </c>
      <c r="BN237" s="15">
        <f t="shared" si="204"/>
        <v>0</v>
      </c>
      <c r="BO237" s="15">
        <f t="shared" si="195"/>
        <v>0</v>
      </c>
      <c r="BP237" s="15">
        <f t="shared" si="217"/>
        <v>0</v>
      </c>
      <c r="BU237" s="15">
        <f t="shared" si="205"/>
        <v>0</v>
      </c>
      <c r="BV237" s="15">
        <f t="shared" si="218"/>
        <v>0</v>
      </c>
      <c r="BW237" s="15">
        <f t="shared" si="219"/>
        <v>0</v>
      </c>
      <c r="BX237" s="15">
        <f t="shared" si="196"/>
        <v>0</v>
      </c>
      <c r="BY237" s="15">
        <f t="shared" si="197"/>
        <v>0</v>
      </c>
      <c r="BZ237" s="1" t="e">
        <f t="shared" si="209"/>
        <v>#DIV/0!</v>
      </c>
      <c r="CA237" s="78"/>
      <c r="CG237" s="15">
        <f>COUNTIF(CB237:CF237,"PR")</f>
        <v>0</v>
      </c>
      <c r="CH237" s="15">
        <f>COUNTIF(CB237:CF237,"AB")</f>
        <v>0</v>
      </c>
      <c r="CI237" s="15">
        <f t="shared" si="220"/>
        <v>0</v>
      </c>
      <c r="CN237" s="15">
        <f>COUNTIF(CJ237:CM237,"PR")</f>
        <v>0</v>
      </c>
      <c r="CO237" s="15">
        <f>COUNTIF(CJ237:CM237,"AB")</f>
        <v>0</v>
      </c>
      <c r="CP237" s="15">
        <f t="shared" si="221"/>
        <v>0</v>
      </c>
      <c r="CU237" s="15">
        <f t="shared" si="206"/>
        <v>0</v>
      </c>
      <c r="CV237" s="15">
        <f t="shared" si="198"/>
        <v>0</v>
      </c>
      <c r="CW237" s="15">
        <f t="shared" si="199"/>
        <v>0</v>
      </c>
      <c r="CX237" s="15">
        <f>CG237+CN237+CU237</f>
        <v>0</v>
      </c>
      <c r="CY237" s="15" t="e">
        <f>SUM(CE237,#REF!,CS237)</f>
        <v>#REF!</v>
      </c>
      <c r="CZ237" s="1" t="e">
        <f t="shared" si="210"/>
        <v>#REF!</v>
      </c>
      <c r="DA237" s="78"/>
    </row>
    <row r="238" spans="1:105">
      <c r="A238" s="91"/>
      <c r="B238" s="14"/>
      <c r="H238" s="15">
        <f t="shared" si="191"/>
        <v>0</v>
      </c>
      <c r="I238" s="18">
        <f t="shared" si="187"/>
        <v>0</v>
      </c>
      <c r="J238" s="15">
        <f t="shared" si="188"/>
        <v>0</v>
      </c>
      <c r="O238" s="15">
        <f t="shared" si="200"/>
        <v>0</v>
      </c>
      <c r="P238" s="18">
        <f t="shared" si="189"/>
        <v>0</v>
      </c>
      <c r="Q238" s="15">
        <f t="shared" si="190"/>
        <v>0</v>
      </c>
      <c r="V238" s="15">
        <f t="shared" si="192"/>
        <v>0</v>
      </c>
      <c r="W238" s="15">
        <f t="shared" si="193"/>
        <v>0</v>
      </c>
      <c r="X238" s="15">
        <f t="shared" si="223"/>
        <v>0</v>
      </c>
      <c r="Y238" s="15">
        <f>J238+Q238+X238</f>
        <v>0</v>
      </c>
      <c r="Z238" s="15">
        <f>SUM(H238,O238,V238)</f>
        <v>0</v>
      </c>
      <c r="AA238" s="78" t="e">
        <f t="shared" si="207"/>
        <v>#DIV/0!</v>
      </c>
      <c r="AB238" s="78"/>
      <c r="AG238" s="15">
        <f t="shared" si="201"/>
        <v>0</v>
      </c>
      <c r="AH238" s="15">
        <f t="shared" si="211"/>
        <v>0</v>
      </c>
      <c r="AI238" s="15">
        <f t="shared" si="212"/>
        <v>0</v>
      </c>
      <c r="AO238" s="15">
        <f t="shared" si="202"/>
        <v>0</v>
      </c>
      <c r="AP238" s="15">
        <f t="shared" si="213"/>
        <v>0</v>
      </c>
      <c r="AQ238" s="15">
        <f t="shared" si="214"/>
        <v>0</v>
      </c>
      <c r="AV238" s="15">
        <f>COUNTIF(AR238:AU238,"PR")</f>
        <v>0</v>
      </c>
      <c r="AW238" s="15">
        <f t="shared" si="194"/>
        <v>0</v>
      </c>
      <c r="AX238" s="15">
        <f t="shared" si="222"/>
        <v>0</v>
      </c>
      <c r="AY238" s="15">
        <f>AI238+AQ238+AX238</f>
        <v>0</v>
      </c>
      <c r="AZ238" s="15">
        <f>SUM(AG238,AO238,AV238)</f>
        <v>0</v>
      </c>
      <c r="BA238" s="78" t="e">
        <f t="shared" si="208"/>
        <v>#DIV/0!</v>
      </c>
      <c r="BD238" s="1"/>
      <c r="BF238" s="15">
        <f t="shared" si="203"/>
        <v>0</v>
      </c>
      <c r="BG238" s="15">
        <f t="shared" si="215"/>
        <v>0</v>
      </c>
      <c r="BH238" s="15">
        <f t="shared" si="216"/>
        <v>0</v>
      </c>
      <c r="BN238" s="15">
        <f t="shared" si="204"/>
        <v>0</v>
      </c>
      <c r="BO238" s="15">
        <f t="shared" si="195"/>
        <v>0</v>
      </c>
      <c r="BP238" s="15">
        <f t="shared" si="217"/>
        <v>0</v>
      </c>
      <c r="BU238" s="15">
        <f t="shared" si="205"/>
        <v>0</v>
      </c>
      <c r="BV238" s="15">
        <f t="shared" si="218"/>
        <v>0</v>
      </c>
      <c r="BW238" s="15">
        <f t="shared" si="219"/>
        <v>0</v>
      </c>
      <c r="BX238" s="15">
        <f t="shared" si="196"/>
        <v>0</v>
      </c>
      <c r="BY238" s="15">
        <f t="shared" si="197"/>
        <v>0</v>
      </c>
      <c r="BZ238" s="1" t="e">
        <f t="shared" si="209"/>
        <v>#DIV/0!</v>
      </c>
      <c r="CA238" s="78"/>
      <c r="CG238" s="15">
        <f>COUNTIF(CB238:CF238,"PR")</f>
        <v>0</v>
      </c>
      <c r="CH238" s="15">
        <f>COUNTIF(CB238:CF238,"AB")</f>
        <v>0</v>
      </c>
      <c r="CI238" s="15">
        <f t="shared" si="220"/>
        <v>0</v>
      </c>
      <c r="CN238" s="15">
        <f>COUNTIF(CJ238:CM238,"PR")</f>
        <v>0</v>
      </c>
      <c r="CO238" s="15">
        <f>COUNTIF(CJ238:CM238,"AB")</f>
        <v>0</v>
      </c>
      <c r="CP238" s="15">
        <f t="shared" si="221"/>
        <v>0</v>
      </c>
      <c r="CU238" s="15">
        <f t="shared" si="206"/>
        <v>0</v>
      </c>
      <c r="CV238" s="15">
        <f t="shared" si="198"/>
        <v>0</v>
      </c>
      <c r="CW238" s="15">
        <f t="shared" si="199"/>
        <v>0</v>
      </c>
      <c r="CX238" s="15">
        <f>CG238+CN238+CU238</f>
        <v>0</v>
      </c>
      <c r="CY238" s="15" t="e">
        <f>SUM(CE238,#REF!,CS238)</f>
        <v>#REF!</v>
      </c>
      <c r="CZ238" s="1" t="e">
        <f t="shared" si="210"/>
        <v>#REF!</v>
      </c>
      <c r="DA238" s="78"/>
    </row>
    <row r="239" spans="1:105">
      <c r="A239" s="91"/>
      <c r="B239" s="14"/>
      <c r="H239" s="15">
        <f t="shared" si="191"/>
        <v>0</v>
      </c>
      <c r="I239" s="18">
        <f t="shared" si="187"/>
        <v>0</v>
      </c>
      <c r="J239" s="15">
        <f t="shared" si="188"/>
        <v>0</v>
      </c>
      <c r="O239" s="15">
        <f t="shared" si="200"/>
        <v>0</v>
      </c>
      <c r="P239" s="18">
        <f t="shared" si="189"/>
        <v>0</v>
      </c>
      <c r="Q239" s="15">
        <f t="shared" si="190"/>
        <v>0</v>
      </c>
      <c r="V239" s="15">
        <f t="shared" si="192"/>
        <v>0</v>
      </c>
      <c r="W239" s="15">
        <f t="shared" si="193"/>
        <v>0</v>
      </c>
      <c r="X239" s="15">
        <f t="shared" si="223"/>
        <v>0</v>
      </c>
      <c r="Y239" s="15">
        <f>J239+Q239+X239</f>
        <v>0</v>
      </c>
      <c r="Z239" s="15">
        <f>SUM(H239,O239,V239)</f>
        <v>0</v>
      </c>
      <c r="AA239" s="78" t="e">
        <f t="shared" si="207"/>
        <v>#DIV/0!</v>
      </c>
      <c r="AB239" s="78"/>
      <c r="AG239" s="15">
        <f t="shared" si="201"/>
        <v>0</v>
      </c>
      <c r="AH239" s="15">
        <f t="shared" si="211"/>
        <v>0</v>
      </c>
      <c r="AI239" s="15">
        <f t="shared" si="212"/>
        <v>0</v>
      </c>
      <c r="AO239" s="15">
        <f t="shared" si="202"/>
        <v>0</v>
      </c>
      <c r="AP239" s="15">
        <f t="shared" si="213"/>
        <v>0</v>
      </c>
      <c r="AQ239" s="15">
        <f t="shared" si="214"/>
        <v>0</v>
      </c>
      <c r="AV239" s="15">
        <f>COUNTIF(AR239:AU239,"PR")</f>
        <v>0</v>
      </c>
      <c r="AW239" s="15">
        <f t="shared" si="194"/>
        <v>0</v>
      </c>
      <c r="AX239" s="15">
        <f t="shared" si="222"/>
        <v>0</v>
      </c>
      <c r="AY239" s="15">
        <f>AI239+AQ239+AX239</f>
        <v>0</v>
      </c>
      <c r="AZ239" s="15">
        <f>SUM(AG239,AO239,AV239)</f>
        <v>0</v>
      </c>
      <c r="BA239" s="78" t="e">
        <f t="shared" si="208"/>
        <v>#DIV/0!</v>
      </c>
      <c r="BD239" s="1"/>
      <c r="BF239" s="15">
        <f t="shared" si="203"/>
        <v>0</v>
      </c>
      <c r="BG239" s="15">
        <f t="shared" si="215"/>
        <v>0</v>
      </c>
      <c r="BH239" s="15">
        <f t="shared" si="216"/>
        <v>0</v>
      </c>
      <c r="BN239" s="15">
        <f t="shared" si="204"/>
        <v>0</v>
      </c>
      <c r="BO239" s="15">
        <f t="shared" si="195"/>
        <v>0</v>
      </c>
      <c r="BP239" s="15">
        <f t="shared" si="217"/>
        <v>0</v>
      </c>
      <c r="BU239" s="15">
        <f t="shared" si="205"/>
        <v>0</v>
      </c>
      <c r="BV239" s="15">
        <f t="shared" si="218"/>
        <v>0</v>
      </c>
      <c r="BW239" s="15">
        <f t="shared" si="219"/>
        <v>0</v>
      </c>
      <c r="BX239" s="15">
        <f t="shared" si="196"/>
        <v>0</v>
      </c>
      <c r="BY239" s="15">
        <f t="shared" si="197"/>
        <v>0</v>
      </c>
      <c r="BZ239" s="1" t="e">
        <f t="shared" si="209"/>
        <v>#DIV/0!</v>
      </c>
      <c r="CA239" s="78"/>
      <c r="CG239" s="15">
        <f>COUNTIF(CB239:CF239,"PR")</f>
        <v>0</v>
      </c>
      <c r="CH239" s="15">
        <f>COUNTIF(CB239:CF239,"AB")</f>
        <v>0</v>
      </c>
      <c r="CI239" s="15">
        <f t="shared" si="220"/>
        <v>0</v>
      </c>
      <c r="CN239" s="15">
        <f>COUNTIF(CJ239:CM239,"PR")</f>
        <v>0</v>
      </c>
      <c r="CO239" s="15">
        <f>COUNTIF(CJ239:CM239,"AB")</f>
        <v>0</v>
      </c>
      <c r="CP239" s="15">
        <f t="shared" si="221"/>
        <v>0</v>
      </c>
      <c r="CU239" s="15">
        <f t="shared" si="206"/>
        <v>0</v>
      </c>
      <c r="CV239" s="15">
        <f t="shared" si="198"/>
        <v>0</v>
      </c>
      <c r="CW239" s="15">
        <f t="shared" si="199"/>
        <v>0</v>
      </c>
      <c r="CX239" s="15">
        <f>CG239+CN239+CU239</f>
        <v>0</v>
      </c>
      <c r="CY239" s="15" t="e">
        <f>SUM(CE239,#REF!,CS239)</f>
        <v>#REF!</v>
      </c>
      <c r="CZ239" s="1" t="e">
        <f t="shared" si="210"/>
        <v>#REF!</v>
      </c>
      <c r="DA239" s="78"/>
    </row>
    <row r="240" spans="1:105" s="8" customFormat="1">
      <c r="A240" s="92"/>
      <c r="H240" s="11">
        <f>SUM(H139:H239)</f>
        <v>0</v>
      </c>
      <c r="I240" s="11"/>
      <c r="J240" s="11">
        <f>SUM(J139:J239)</f>
        <v>0</v>
      </c>
      <c r="O240" s="11">
        <f>SUM(O139:O239)</f>
        <v>0</v>
      </c>
      <c r="P240" s="11"/>
      <c r="Q240" s="11">
        <f>SUM(Q139:Q239)</f>
        <v>0</v>
      </c>
      <c r="V240" s="11">
        <f>SUM(V139:V239)</f>
        <v>0</v>
      </c>
      <c r="W240" s="11"/>
      <c r="X240" s="11">
        <f>SUM(X139:X239)</f>
        <v>0</v>
      </c>
      <c r="Y240" s="11">
        <f>SUM(Y224:Y239)</f>
        <v>0</v>
      </c>
      <c r="Z240" s="11"/>
      <c r="AG240" s="11">
        <f>SUM(AG139:AG239)</f>
        <v>0</v>
      </c>
      <c r="AH240" s="11"/>
      <c r="AI240" s="11">
        <f>SUM(AI139:AI239)</f>
        <v>0</v>
      </c>
      <c r="AO240" s="11">
        <f>SUM(AO139:AO239)</f>
        <v>0</v>
      </c>
      <c r="AP240" s="11"/>
      <c r="AQ240" s="11">
        <f>SUM(AQ139:AQ239)</f>
        <v>0</v>
      </c>
      <c r="AV240" s="11">
        <f>SUM(AV139:AV239)</f>
        <v>0</v>
      </c>
      <c r="AW240" s="11"/>
      <c r="AX240" s="11">
        <f>SUM(AX139:AX239)</f>
        <v>0</v>
      </c>
      <c r="AY240" s="11">
        <f>SUM(AY224:AY239)</f>
        <v>0</v>
      </c>
      <c r="AZ240" s="11"/>
      <c r="BD240" s="85"/>
      <c r="BF240" s="11">
        <f>SUM(BF139:BF239)</f>
        <v>0</v>
      </c>
      <c r="BG240" s="11"/>
      <c r="BH240" s="11">
        <f>SUM(BH139:BH239)</f>
        <v>0</v>
      </c>
      <c r="BN240" s="11">
        <f>SUM(BN139:BN239)</f>
        <v>0</v>
      </c>
      <c r="BO240" s="11"/>
      <c r="BP240" s="11">
        <f>SUM(BP139:BP239)</f>
        <v>0</v>
      </c>
      <c r="BU240" s="11">
        <f>SUM(BU139:BU239)</f>
        <v>0</v>
      </c>
      <c r="BV240" s="11"/>
      <c r="BW240" s="11">
        <f>SUM(BW139:BW239)</f>
        <v>0</v>
      </c>
      <c r="BX240" s="11">
        <f>SUM(BX224:BX239)</f>
        <v>0</v>
      </c>
      <c r="BY240" s="11"/>
      <c r="CG240" s="11">
        <f>SUM(CG139:CG239)</f>
        <v>0</v>
      </c>
      <c r="CH240" s="11"/>
      <c r="CI240" s="11">
        <f>SUM(CI139:CI239)</f>
        <v>0</v>
      </c>
      <c r="CN240" s="11">
        <f>SUM(CN139:CN239)</f>
        <v>0</v>
      </c>
      <c r="CO240" s="11"/>
      <c r="CP240" s="11">
        <f>SUM(CP139:CP239)</f>
        <v>0</v>
      </c>
      <c r="CU240" s="11">
        <f>SUM(CU139:CU239)</f>
        <v>0</v>
      </c>
      <c r="CV240" s="11"/>
      <c r="CW240" s="11">
        <f>SUM(CW139:CW239)</f>
        <v>0</v>
      </c>
      <c r="CX240" s="11">
        <f>SUM(CX224:CX239)</f>
        <v>0</v>
      </c>
      <c r="CY240" s="11"/>
    </row>
    <row r="241" spans="1:105" s="8" customFormat="1">
      <c r="A241" s="90" t="s">
        <v>77</v>
      </c>
      <c r="H241" s="11"/>
      <c r="I241" s="11"/>
      <c r="J241" s="11"/>
      <c r="O241" s="11"/>
      <c r="P241" s="11"/>
      <c r="Q241" s="11"/>
      <c r="V241" s="11"/>
      <c r="W241" s="11"/>
      <c r="X241" s="11"/>
      <c r="Y241" s="11"/>
      <c r="Z241" s="11"/>
      <c r="AG241" s="11"/>
      <c r="AH241" s="11"/>
      <c r="AI241" s="11"/>
      <c r="AO241" s="11"/>
      <c r="AP241" s="11"/>
      <c r="AQ241" s="11"/>
      <c r="AV241" s="11"/>
      <c r="AW241" s="11"/>
      <c r="AX241" s="11"/>
      <c r="AY241" s="11"/>
      <c r="AZ241" s="11"/>
      <c r="BD241" s="85"/>
      <c r="BF241" s="11"/>
      <c r="BG241" s="11"/>
      <c r="BH241" s="11"/>
      <c r="BN241" s="11"/>
      <c r="BO241" s="11"/>
      <c r="BP241" s="11"/>
      <c r="BU241" s="11"/>
      <c r="BV241" s="11"/>
      <c r="BW241" s="11"/>
      <c r="BX241" s="11"/>
      <c r="BY241" s="11"/>
      <c r="CG241" s="11"/>
      <c r="CH241" s="11"/>
      <c r="CI241" s="11"/>
      <c r="CN241" s="11"/>
      <c r="CO241" s="11"/>
      <c r="CP241" s="11"/>
      <c r="CU241" s="11"/>
      <c r="CV241" s="11"/>
      <c r="CW241" s="11"/>
      <c r="CX241" s="11"/>
      <c r="CY241" s="11"/>
    </row>
    <row r="242" spans="1:105">
      <c r="A242" s="74"/>
      <c r="B242" s="14"/>
      <c r="H242" s="15">
        <f t="shared" ref="H242:H304" si="224">COUNTIF(C242:G242,"PR")</f>
        <v>0</v>
      </c>
      <c r="I242" s="18">
        <f t="shared" ref="I242:I304" si="225">COUNTIF(C242:G242,"AB")</f>
        <v>0</v>
      </c>
      <c r="J242" s="15">
        <f t="shared" ref="J242:J304" si="226">H242+I242</f>
        <v>0</v>
      </c>
      <c r="O242" s="15">
        <f t="shared" si="200"/>
        <v>0</v>
      </c>
      <c r="P242" s="18">
        <f t="shared" si="189"/>
        <v>0</v>
      </c>
      <c r="Q242" s="15">
        <f t="shared" si="190"/>
        <v>0</v>
      </c>
      <c r="U242" s="75"/>
      <c r="V242" s="15">
        <f>COUNTIF(R242:U242,"PR")</f>
        <v>0</v>
      </c>
      <c r="W242" s="15">
        <f>COUNTIF(R242:U242,"AB")</f>
        <v>0</v>
      </c>
      <c r="X242" s="15">
        <f t="shared" si="223"/>
        <v>0</v>
      </c>
      <c r="Y242" s="15">
        <f>J242+Q242+X242</f>
        <v>0</v>
      </c>
      <c r="Z242" s="15">
        <f>SUM(H242,O242,V242)</f>
        <v>0</v>
      </c>
      <c r="AA242" s="78" t="e">
        <f t="shared" si="207"/>
        <v>#DIV/0!</v>
      </c>
      <c r="AB242" s="84"/>
      <c r="AG242" s="15">
        <f t="shared" si="201"/>
        <v>0</v>
      </c>
      <c r="AH242" s="15">
        <f t="shared" si="211"/>
        <v>0</v>
      </c>
      <c r="AI242" s="15">
        <f t="shared" si="212"/>
        <v>0</v>
      </c>
      <c r="AO242" s="15">
        <f t="shared" si="202"/>
        <v>0</v>
      </c>
      <c r="AP242" s="15">
        <f t="shared" si="213"/>
        <v>0</v>
      </c>
      <c r="AQ242" s="15">
        <f t="shared" si="214"/>
        <v>0</v>
      </c>
      <c r="AV242" s="15">
        <f>COUNTIF(AR242:AU242,"PR")</f>
        <v>0</v>
      </c>
      <c r="AW242" s="15">
        <f>COUNTIF(AR242:AU242,"AB")</f>
        <v>0</v>
      </c>
      <c r="AX242" s="15">
        <f t="shared" si="222"/>
        <v>0</v>
      </c>
      <c r="AY242" s="15">
        <f>AI242+AQ242+AX242</f>
        <v>0</v>
      </c>
      <c r="AZ242" s="15">
        <f>SUM(AG242,AO242,AV242)</f>
        <v>0</v>
      </c>
      <c r="BA242" s="78" t="e">
        <f t="shared" si="208"/>
        <v>#DIV/0!</v>
      </c>
      <c r="BD242" s="1"/>
      <c r="BF242" s="15">
        <f t="shared" si="203"/>
        <v>0</v>
      </c>
      <c r="BG242" s="15">
        <f t="shared" si="215"/>
        <v>0</v>
      </c>
      <c r="BH242" s="15">
        <f t="shared" si="216"/>
        <v>0</v>
      </c>
      <c r="BN242" s="15">
        <f t="shared" si="204"/>
        <v>0</v>
      </c>
      <c r="BO242" s="15">
        <f>COUNTIF(BI242:BM242,"AB")</f>
        <v>0</v>
      </c>
      <c r="BP242" s="15">
        <f t="shared" si="217"/>
        <v>0</v>
      </c>
      <c r="BU242" s="15">
        <f t="shared" si="205"/>
        <v>0</v>
      </c>
      <c r="BV242" s="15">
        <f t="shared" si="218"/>
        <v>0</v>
      </c>
      <c r="BW242" s="15">
        <f t="shared" si="219"/>
        <v>0</v>
      </c>
      <c r="BX242" s="15">
        <f>BH242+BP242+BW242</f>
        <v>0</v>
      </c>
      <c r="BY242" s="15">
        <f>SUM(BF242,BN242,BU242)</f>
        <v>0</v>
      </c>
      <c r="BZ242" s="1" t="e">
        <f t="shared" ref="BZ242:BZ272" si="227">BY242/BX242*100</f>
        <v>#DIV/0!</v>
      </c>
      <c r="CA242" s="84"/>
      <c r="CG242" s="15">
        <f>COUNTIF(CB242:CF242,"PR")</f>
        <v>0</v>
      </c>
      <c r="CH242" s="15">
        <f>COUNTIF(CB242:CF242,"AB")</f>
        <v>0</v>
      </c>
      <c r="CI242" s="15">
        <f t="shared" si="220"/>
        <v>0</v>
      </c>
      <c r="CN242" s="15">
        <f>COUNTIF(CJ242:CM242,"PR")</f>
        <v>0</v>
      </c>
      <c r="CO242" s="15">
        <f>COUNTIF(CJ242:CM242,"AB")</f>
        <v>0</v>
      </c>
      <c r="CP242" s="15">
        <f t="shared" si="221"/>
        <v>0</v>
      </c>
      <c r="CU242" s="15">
        <f t="shared" si="206"/>
        <v>0</v>
      </c>
      <c r="CV242" s="15">
        <f t="shared" ref="CV242:CV305" si="228">COUNTIF(CQ242:CT242,"AB")</f>
        <v>0</v>
      </c>
      <c r="CW242" s="15">
        <f t="shared" ref="CW242:CW305" si="229">CU242+CV242</f>
        <v>0</v>
      </c>
      <c r="CX242" s="15">
        <f>CG242+CN242+CU242</f>
        <v>0</v>
      </c>
      <c r="CY242" s="15" t="e">
        <f>SUM(CE242,#REF!,CS242)</f>
        <v>#REF!</v>
      </c>
      <c r="CZ242" s="1" t="e">
        <f t="shared" si="210"/>
        <v>#REF!</v>
      </c>
      <c r="DA242" s="84"/>
    </row>
    <row r="243" spans="1:105">
      <c r="A243" s="68"/>
      <c r="B243" s="14"/>
      <c r="H243" s="15">
        <f t="shared" si="224"/>
        <v>0</v>
      </c>
      <c r="I243" s="18">
        <f t="shared" si="225"/>
        <v>0</v>
      </c>
      <c r="J243" s="15">
        <f t="shared" si="226"/>
        <v>0</v>
      </c>
      <c r="O243" s="15">
        <f t="shared" si="200"/>
        <v>0</v>
      </c>
      <c r="P243" s="18">
        <f t="shared" ref="P243:P305" si="230">COUNTIF(K243:N243,"AB")</f>
        <v>0</v>
      </c>
      <c r="Q243" s="15">
        <f t="shared" ref="Q243:Q305" si="231">O243+P243</f>
        <v>0</v>
      </c>
      <c r="U243" s="71"/>
      <c r="V243" s="15">
        <f t="shared" ref="V243:V306" si="232">COUNTIF(R243:U243,"PR")</f>
        <v>0</v>
      </c>
      <c r="W243" s="15">
        <f t="shared" ref="W243:W306" si="233">COUNTIF(R243:U243,"AB")</f>
        <v>0</v>
      </c>
      <c r="X243" s="15">
        <f t="shared" si="223"/>
        <v>0</v>
      </c>
      <c r="Y243" s="15">
        <f>J243+Q243+X243</f>
        <v>0</v>
      </c>
      <c r="Z243" s="15">
        <f>SUM(H243,O243,V243)</f>
        <v>0</v>
      </c>
      <c r="AA243" s="78" t="e">
        <f t="shared" si="207"/>
        <v>#DIV/0!</v>
      </c>
      <c r="AB243" s="82"/>
      <c r="AG243" s="15">
        <f t="shared" si="201"/>
        <v>0</v>
      </c>
      <c r="AH243" s="15">
        <f t="shared" si="211"/>
        <v>0</v>
      </c>
      <c r="AI243" s="15">
        <f t="shared" si="212"/>
        <v>0</v>
      </c>
      <c r="AO243" s="15">
        <f t="shared" si="202"/>
        <v>0</v>
      </c>
      <c r="AP243" s="15">
        <f t="shared" si="213"/>
        <v>0</v>
      </c>
      <c r="AQ243" s="15">
        <f t="shared" si="214"/>
        <v>0</v>
      </c>
      <c r="AV243" s="15">
        <f>COUNTIF(AR243:AU243,"PR")</f>
        <v>0</v>
      </c>
      <c r="AW243" s="15">
        <f t="shared" ref="AW243:AW306" si="234">COUNTIF(AR243:AU243,"AB")</f>
        <v>0</v>
      </c>
      <c r="AX243" s="15">
        <f t="shared" si="222"/>
        <v>0</v>
      </c>
      <c r="AY243" s="15">
        <f>AI243+AQ243+AX243</f>
        <v>0</v>
      </c>
      <c r="AZ243" s="15">
        <f>SUM(AG243,AO243,AV243)</f>
        <v>0</v>
      </c>
      <c r="BA243" s="78" t="e">
        <f t="shared" si="208"/>
        <v>#DIV/0!</v>
      </c>
      <c r="BD243" s="1"/>
      <c r="BF243" s="15">
        <f t="shared" si="203"/>
        <v>0</v>
      </c>
      <c r="BG243" s="15">
        <f t="shared" si="215"/>
        <v>0</v>
      </c>
      <c r="BH243" s="15">
        <f t="shared" si="216"/>
        <v>0</v>
      </c>
      <c r="BN243" s="15">
        <f t="shared" si="204"/>
        <v>0</v>
      </c>
      <c r="BO243" s="15">
        <f t="shared" ref="BO243:BO306" si="235">COUNTIF(BI243:BM243,"AB")</f>
        <v>0</v>
      </c>
      <c r="BP243" s="15">
        <f t="shared" si="217"/>
        <v>0</v>
      </c>
      <c r="BU243" s="15">
        <f t="shared" si="205"/>
        <v>0</v>
      </c>
      <c r="BV243" s="15">
        <f t="shared" si="218"/>
        <v>0</v>
      </c>
      <c r="BW243" s="15">
        <f t="shared" si="219"/>
        <v>0</v>
      </c>
      <c r="BX243" s="15">
        <f t="shared" ref="BX243:BX305" si="236">BH243+BP243+BW243</f>
        <v>0</v>
      </c>
      <c r="BY243" s="15">
        <f t="shared" ref="BY243:BY305" si="237">SUM(BF243,BN243,BU243)</f>
        <v>0</v>
      </c>
      <c r="BZ243" s="1" t="e">
        <f t="shared" si="227"/>
        <v>#DIV/0!</v>
      </c>
      <c r="CA243" s="82"/>
      <c r="CG243" s="15">
        <f>COUNTIF(CB243:CF243,"PR")</f>
        <v>0</v>
      </c>
      <c r="CH243" s="15">
        <f>COUNTIF(CB243:CF243,"AB")</f>
        <v>0</v>
      </c>
      <c r="CI243" s="15">
        <f t="shared" si="220"/>
        <v>0</v>
      </c>
      <c r="CN243" s="15">
        <f>COUNTIF(CJ243:CM243,"PR")</f>
        <v>0</v>
      </c>
      <c r="CO243" s="15">
        <f>COUNTIF(CJ243:CM243,"AB")</f>
        <v>0</v>
      </c>
      <c r="CP243" s="15">
        <f t="shared" si="221"/>
        <v>0</v>
      </c>
      <c r="CU243" s="15">
        <f t="shared" si="206"/>
        <v>0</v>
      </c>
      <c r="CV243" s="15">
        <f t="shared" si="228"/>
        <v>0</v>
      </c>
      <c r="CW243" s="15">
        <f t="shared" si="229"/>
        <v>0</v>
      </c>
      <c r="CX243" s="15">
        <f>CG243+CN243+CU243</f>
        <v>0</v>
      </c>
      <c r="CY243" s="15" t="e">
        <f>SUM(CE243,#REF!,CS243)</f>
        <v>#REF!</v>
      </c>
      <c r="CZ243" s="1" t="e">
        <f t="shared" si="210"/>
        <v>#REF!</v>
      </c>
      <c r="DA243" s="82"/>
    </row>
    <row r="244" spans="1:105">
      <c r="A244" s="68"/>
      <c r="B244" s="14"/>
      <c r="H244" s="15">
        <f t="shared" si="224"/>
        <v>0</v>
      </c>
      <c r="I244" s="18">
        <f t="shared" si="225"/>
        <v>0</v>
      </c>
      <c r="J244" s="15">
        <f t="shared" si="226"/>
        <v>0</v>
      </c>
      <c r="O244" s="15">
        <f t="shared" si="200"/>
        <v>0</v>
      </c>
      <c r="P244" s="18">
        <f t="shared" si="230"/>
        <v>0</v>
      </c>
      <c r="Q244" s="15">
        <f t="shared" si="231"/>
        <v>0</v>
      </c>
      <c r="U244" s="71"/>
      <c r="V244" s="15">
        <f t="shared" si="232"/>
        <v>0</v>
      </c>
      <c r="W244" s="15">
        <f t="shared" si="233"/>
        <v>0</v>
      </c>
      <c r="X244" s="15">
        <f t="shared" si="223"/>
        <v>0</v>
      </c>
      <c r="Y244" s="15">
        <f>J244+Q244+X244</f>
        <v>0</v>
      </c>
      <c r="Z244" s="15">
        <f>SUM(H244,O244,V244)</f>
        <v>0</v>
      </c>
      <c r="AA244" s="78" t="e">
        <f t="shared" si="207"/>
        <v>#DIV/0!</v>
      </c>
      <c r="AB244" s="82"/>
      <c r="AG244" s="15">
        <f t="shared" si="201"/>
        <v>0</v>
      </c>
      <c r="AH244" s="15">
        <f t="shared" si="211"/>
        <v>0</v>
      </c>
      <c r="AI244" s="15">
        <f t="shared" si="212"/>
        <v>0</v>
      </c>
      <c r="AO244" s="15">
        <f t="shared" si="202"/>
        <v>0</v>
      </c>
      <c r="AP244" s="15">
        <f t="shared" si="213"/>
        <v>0</v>
      </c>
      <c r="AQ244" s="15">
        <f t="shared" si="214"/>
        <v>0</v>
      </c>
      <c r="AV244" s="15">
        <f>COUNTIF(AR244:AU244,"PR")</f>
        <v>0</v>
      </c>
      <c r="AW244" s="15">
        <f t="shared" si="234"/>
        <v>0</v>
      </c>
      <c r="AX244" s="15">
        <f t="shared" si="222"/>
        <v>0</v>
      </c>
      <c r="AY244" s="15">
        <f>AI244+AQ244+AX244</f>
        <v>0</v>
      </c>
      <c r="AZ244" s="15">
        <f>SUM(AG244,AO244,AV244)</f>
        <v>0</v>
      </c>
      <c r="BA244" s="78" t="e">
        <f t="shared" si="208"/>
        <v>#DIV/0!</v>
      </c>
      <c r="BD244" s="1"/>
      <c r="BF244" s="15">
        <f t="shared" si="203"/>
        <v>0</v>
      </c>
      <c r="BG244" s="15">
        <f t="shared" si="215"/>
        <v>0</v>
      </c>
      <c r="BH244" s="15">
        <f t="shared" si="216"/>
        <v>0</v>
      </c>
      <c r="BN244" s="15">
        <f t="shared" si="204"/>
        <v>0</v>
      </c>
      <c r="BO244" s="15">
        <f t="shared" si="235"/>
        <v>0</v>
      </c>
      <c r="BP244" s="15">
        <f t="shared" si="217"/>
        <v>0</v>
      </c>
      <c r="BU244" s="15">
        <f t="shared" si="205"/>
        <v>0</v>
      </c>
      <c r="BV244" s="15">
        <f t="shared" si="218"/>
        <v>0</v>
      </c>
      <c r="BW244" s="15">
        <f t="shared" si="219"/>
        <v>0</v>
      </c>
      <c r="BX244" s="15">
        <f t="shared" si="236"/>
        <v>0</v>
      </c>
      <c r="BY244" s="15">
        <f t="shared" si="237"/>
        <v>0</v>
      </c>
      <c r="BZ244" s="1" t="e">
        <f t="shared" si="227"/>
        <v>#DIV/0!</v>
      </c>
      <c r="CA244" s="82"/>
      <c r="CG244" s="15">
        <f>COUNTIF(CB244:CF244,"PR")</f>
        <v>0</v>
      </c>
      <c r="CH244" s="15">
        <f>COUNTIF(CB244:CF244,"AB")</f>
        <v>0</v>
      </c>
      <c r="CI244" s="15">
        <f t="shared" si="220"/>
        <v>0</v>
      </c>
      <c r="CN244" s="15">
        <f>COUNTIF(CJ244:CM244,"PR")</f>
        <v>0</v>
      </c>
      <c r="CO244" s="15">
        <f>COUNTIF(CJ244:CM244,"AB")</f>
        <v>0</v>
      </c>
      <c r="CP244" s="15">
        <f t="shared" si="221"/>
        <v>0</v>
      </c>
      <c r="CU244" s="15">
        <f t="shared" si="206"/>
        <v>0</v>
      </c>
      <c r="CV244" s="15">
        <f t="shared" si="228"/>
        <v>0</v>
      </c>
      <c r="CW244" s="15">
        <f t="shared" si="229"/>
        <v>0</v>
      </c>
      <c r="CX244" s="15">
        <f>CG244+CN244+CU244</f>
        <v>0</v>
      </c>
      <c r="CY244" s="15" t="e">
        <f>SUM(CE244,#REF!,CS244)</f>
        <v>#REF!</v>
      </c>
      <c r="CZ244" s="1" t="e">
        <f t="shared" si="210"/>
        <v>#REF!</v>
      </c>
      <c r="DA244" s="82"/>
    </row>
    <row r="245" spans="1:105">
      <c r="A245" s="68"/>
      <c r="B245" s="14"/>
      <c r="H245" s="15">
        <f t="shared" si="224"/>
        <v>0</v>
      </c>
      <c r="I245" s="18">
        <f t="shared" si="225"/>
        <v>0</v>
      </c>
      <c r="J245" s="15">
        <f t="shared" si="226"/>
        <v>0</v>
      </c>
      <c r="O245" s="15">
        <f t="shared" si="200"/>
        <v>0</v>
      </c>
      <c r="P245" s="18">
        <f t="shared" si="230"/>
        <v>0</v>
      </c>
      <c r="Q245" s="15">
        <f t="shared" si="231"/>
        <v>0</v>
      </c>
      <c r="U245" s="71"/>
      <c r="V245" s="15">
        <f t="shared" si="232"/>
        <v>0</v>
      </c>
      <c r="W245" s="15">
        <f t="shared" si="233"/>
        <v>0</v>
      </c>
      <c r="X245" s="15">
        <f t="shared" si="223"/>
        <v>0</v>
      </c>
      <c r="Y245" s="15">
        <f>J245+Q245+X245</f>
        <v>0</v>
      </c>
      <c r="Z245" s="15">
        <f>SUM(H245,O245,V245)</f>
        <v>0</v>
      </c>
      <c r="AA245" s="78" t="e">
        <f t="shared" si="207"/>
        <v>#DIV/0!</v>
      </c>
      <c r="AB245" s="82"/>
      <c r="AG245" s="15">
        <f t="shared" si="201"/>
        <v>0</v>
      </c>
      <c r="AH245" s="15">
        <f t="shared" si="211"/>
        <v>0</v>
      </c>
      <c r="AI245" s="15">
        <f t="shared" si="212"/>
        <v>0</v>
      </c>
      <c r="AO245" s="15">
        <f t="shared" si="202"/>
        <v>0</v>
      </c>
      <c r="AP245" s="15">
        <f t="shared" si="213"/>
        <v>0</v>
      </c>
      <c r="AQ245" s="15">
        <f t="shared" si="214"/>
        <v>0</v>
      </c>
      <c r="AV245" s="15">
        <f>COUNTIF(AR245:AU245,"PR")</f>
        <v>0</v>
      </c>
      <c r="AW245" s="15">
        <f t="shared" si="234"/>
        <v>0</v>
      </c>
      <c r="AX245" s="15">
        <f t="shared" si="222"/>
        <v>0</v>
      </c>
      <c r="AY245" s="15">
        <f>AI245+AQ245+AX245</f>
        <v>0</v>
      </c>
      <c r="AZ245" s="15">
        <f>SUM(AG245,AO245,AV245)</f>
        <v>0</v>
      </c>
      <c r="BA245" s="78" t="e">
        <f t="shared" si="208"/>
        <v>#DIV/0!</v>
      </c>
      <c r="BD245" s="1"/>
      <c r="BF245" s="15">
        <f t="shared" si="203"/>
        <v>0</v>
      </c>
      <c r="BG245" s="15">
        <f t="shared" si="215"/>
        <v>0</v>
      </c>
      <c r="BH245" s="15">
        <f t="shared" si="216"/>
        <v>0</v>
      </c>
      <c r="BN245" s="15">
        <f t="shared" si="204"/>
        <v>0</v>
      </c>
      <c r="BO245" s="15">
        <f t="shared" si="235"/>
        <v>0</v>
      </c>
      <c r="BP245" s="15">
        <f t="shared" si="217"/>
        <v>0</v>
      </c>
      <c r="BU245" s="15">
        <f t="shared" si="205"/>
        <v>0</v>
      </c>
      <c r="BV245" s="15">
        <f t="shared" si="218"/>
        <v>0</v>
      </c>
      <c r="BW245" s="15">
        <f t="shared" si="219"/>
        <v>0</v>
      </c>
      <c r="BX245" s="15">
        <f t="shared" si="236"/>
        <v>0</v>
      </c>
      <c r="BY245" s="15">
        <f t="shared" si="237"/>
        <v>0</v>
      </c>
      <c r="BZ245" s="1" t="e">
        <f t="shared" si="227"/>
        <v>#DIV/0!</v>
      </c>
      <c r="CA245" s="82"/>
      <c r="CG245" s="15">
        <f>COUNTIF(CB245:CF245,"PR")</f>
        <v>0</v>
      </c>
      <c r="CH245" s="15">
        <f>COUNTIF(CB245:CF245,"AB")</f>
        <v>0</v>
      </c>
      <c r="CI245" s="15">
        <f t="shared" si="220"/>
        <v>0</v>
      </c>
      <c r="CN245" s="15">
        <f>COUNTIF(CJ245:CM245,"PR")</f>
        <v>0</v>
      </c>
      <c r="CO245" s="15">
        <f>COUNTIF(CJ245:CM245,"AB")</f>
        <v>0</v>
      </c>
      <c r="CP245" s="15">
        <f t="shared" si="221"/>
        <v>0</v>
      </c>
      <c r="CU245" s="15">
        <f t="shared" si="206"/>
        <v>0</v>
      </c>
      <c r="CV245" s="15">
        <f t="shared" si="228"/>
        <v>0</v>
      </c>
      <c r="CW245" s="15">
        <f t="shared" si="229"/>
        <v>0</v>
      </c>
      <c r="CX245" s="15">
        <f>CG245+CN245+CU245</f>
        <v>0</v>
      </c>
      <c r="CY245" s="15" t="e">
        <f>SUM(CE245,#REF!,CS245)</f>
        <v>#REF!</v>
      </c>
      <c r="CZ245" s="1" t="e">
        <f t="shared" si="210"/>
        <v>#REF!</v>
      </c>
      <c r="DA245" s="82"/>
    </row>
    <row r="246" spans="1:105">
      <c r="A246" s="68"/>
      <c r="B246" s="14"/>
      <c r="H246" s="15">
        <f t="shared" si="224"/>
        <v>0</v>
      </c>
      <c r="I246" s="18">
        <f t="shared" si="225"/>
        <v>0</v>
      </c>
      <c r="J246" s="15">
        <f t="shared" si="226"/>
        <v>0</v>
      </c>
      <c r="O246" s="15">
        <f t="shared" si="200"/>
        <v>0</v>
      </c>
      <c r="P246" s="18">
        <f t="shared" si="230"/>
        <v>0</v>
      </c>
      <c r="Q246" s="15">
        <f t="shared" si="231"/>
        <v>0</v>
      </c>
      <c r="U246" s="71"/>
      <c r="V246" s="15">
        <f t="shared" si="232"/>
        <v>0</v>
      </c>
      <c r="W246" s="15">
        <f t="shared" si="233"/>
        <v>0</v>
      </c>
      <c r="X246" s="15">
        <f t="shared" si="223"/>
        <v>0</v>
      </c>
      <c r="Y246" s="15">
        <f>J246+Q246+X246</f>
        <v>0</v>
      </c>
      <c r="Z246" s="15">
        <f>SUM(H246,O246,V246)</f>
        <v>0</v>
      </c>
      <c r="AA246" s="78" t="e">
        <f t="shared" si="207"/>
        <v>#DIV/0!</v>
      </c>
      <c r="AB246" s="82"/>
      <c r="AG246" s="15">
        <f t="shared" si="201"/>
        <v>0</v>
      </c>
      <c r="AH246" s="15">
        <f t="shared" si="211"/>
        <v>0</v>
      </c>
      <c r="AI246" s="15">
        <f t="shared" si="212"/>
        <v>0</v>
      </c>
      <c r="AO246" s="15">
        <f t="shared" si="202"/>
        <v>0</v>
      </c>
      <c r="AP246" s="15">
        <f t="shared" si="213"/>
        <v>0</v>
      </c>
      <c r="AQ246" s="15">
        <f t="shared" si="214"/>
        <v>0</v>
      </c>
      <c r="AV246" s="15">
        <f>COUNTIF(AR246:AU246,"PR")</f>
        <v>0</v>
      </c>
      <c r="AW246" s="15">
        <f t="shared" si="234"/>
        <v>0</v>
      </c>
      <c r="AX246" s="15">
        <f t="shared" si="222"/>
        <v>0</v>
      </c>
      <c r="AY246" s="15">
        <f>AI246+AQ246+AX246</f>
        <v>0</v>
      </c>
      <c r="AZ246" s="15">
        <f>SUM(AG246,AO246,AV246)</f>
        <v>0</v>
      </c>
      <c r="BA246" s="78" t="e">
        <f t="shared" si="208"/>
        <v>#DIV/0!</v>
      </c>
      <c r="BD246" s="1"/>
      <c r="BF246" s="15">
        <f t="shared" si="203"/>
        <v>0</v>
      </c>
      <c r="BG246" s="15">
        <f t="shared" si="215"/>
        <v>0</v>
      </c>
      <c r="BH246" s="15">
        <f t="shared" si="216"/>
        <v>0</v>
      </c>
      <c r="BN246" s="15">
        <f t="shared" si="204"/>
        <v>0</v>
      </c>
      <c r="BO246" s="15">
        <f t="shared" si="235"/>
        <v>0</v>
      </c>
      <c r="BP246" s="15">
        <f t="shared" si="217"/>
        <v>0</v>
      </c>
      <c r="BU246" s="15">
        <f t="shared" si="205"/>
        <v>0</v>
      </c>
      <c r="BV246" s="15">
        <f t="shared" si="218"/>
        <v>0</v>
      </c>
      <c r="BW246" s="15">
        <f t="shared" si="219"/>
        <v>0</v>
      </c>
      <c r="BX246" s="15">
        <f t="shared" si="236"/>
        <v>0</v>
      </c>
      <c r="BY246" s="15">
        <f t="shared" si="237"/>
        <v>0</v>
      </c>
      <c r="BZ246" s="1" t="e">
        <f t="shared" si="227"/>
        <v>#DIV/0!</v>
      </c>
      <c r="CA246" s="82"/>
      <c r="CG246" s="15">
        <f>COUNTIF(CB246:CF246,"PR")</f>
        <v>0</v>
      </c>
      <c r="CH246" s="15">
        <f>COUNTIF(CB246:CF246,"AB")</f>
        <v>0</v>
      </c>
      <c r="CI246" s="15">
        <f t="shared" si="220"/>
        <v>0</v>
      </c>
      <c r="CN246" s="15">
        <f>COUNTIF(CJ246:CM246,"PR")</f>
        <v>0</v>
      </c>
      <c r="CO246" s="15">
        <f>COUNTIF(CJ246:CM246,"AB")</f>
        <v>0</v>
      </c>
      <c r="CP246" s="15">
        <f t="shared" si="221"/>
        <v>0</v>
      </c>
      <c r="CU246" s="15">
        <f t="shared" si="206"/>
        <v>0</v>
      </c>
      <c r="CV246" s="15">
        <f t="shared" si="228"/>
        <v>0</v>
      </c>
      <c r="CW246" s="15">
        <f t="shared" si="229"/>
        <v>0</v>
      </c>
      <c r="CX246" s="15">
        <f>CG246+CN246+CU246</f>
        <v>0</v>
      </c>
      <c r="CY246" s="15" t="e">
        <f>SUM(CE246,#REF!,CS246)</f>
        <v>#REF!</v>
      </c>
      <c r="CZ246" s="1" t="e">
        <f t="shared" si="210"/>
        <v>#REF!</v>
      </c>
      <c r="DA246" s="82"/>
    </row>
    <row r="247" spans="1:105">
      <c r="A247" s="68"/>
      <c r="B247" s="14"/>
      <c r="H247" s="15">
        <f t="shared" si="224"/>
        <v>0</v>
      </c>
      <c r="I247" s="18">
        <f t="shared" si="225"/>
        <v>0</v>
      </c>
      <c r="J247" s="15">
        <f t="shared" si="226"/>
        <v>0</v>
      </c>
      <c r="O247" s="15">
        <f t="shared" si="200"/>
        <v>0</v>
      </c>
      <c r="P247" s="18">
        <f t="shared" si="230"/>
        <v>0</v>
      </c>
      <c r="Q247" s="15">
        <f t="shared" si="231"/>
        <v>0</v>
      </c>
      <c r="U247" s="71"/>
      <c r="V247" s="15">
        <f t="shared" si="232"/>
        <v>0</v>
      </c>
      <c r="W247" s="15">
        <f t="shared" si="233"/>
        <v>0</v>
      </c>
      <c r="X247" s="15">
        <f t="shared" si="223"/>
        <v>0</v>
      </c>
      <c r="Y247" s="15">
        <f>J247+Q247+X247</f>
        <v>0</v>
      </c>
      <c r="Z247" s="15">
        <f>SUM(H247,O247,V247)</f>
        <v>0</v>
      </c>
      <c r="AA247" s="78" t="e">
        <f t="shared" si="207"/>
        <v>#DIV/0!</v>
      </c>
      <c r="AB247" s="82"/>
      <c r="AG247" s="15">
        <f t="shared" si="201"/>
        <v>0</v>
      </c>
      <c r="AH247" s="15">
        <f t="shared" si="211"/>
        <v>0</v>
      </c>
      <c r="AI247" s="15">
        <f t="shared" si="212"/>
        <v>0</v>
      </c>
      <c r="AO247" s="15">
        <f t="shared" si="202"/>
        <v>0</v>
      </c>
      <c r="AP247" s="15">
        <f t="shared" si="213"/>
        <v>0</v>
      </c>
      <c r="AQ247" s="15">
        <f t="shared" si="214"/>
        <v>0</v>
      </c>
      <c r="AV247" s="15">
        <f>COUNTIF(AR247:AU247,"PR")</f>
        <v>0</v>
      </c>
      <c r="AW247" s="15">
        <f t="shared" si="234"/>
        <v>0</v>
      </c>
      <c r="AX247" s="15">
        <f t="shared" si="222"/>
        <v>0</v>
      </c>
      <c r="AY247" s="15">
        <f>AI247+AQ247+AX247</f>
        <v>0</v>
      </c>
      <c r="AZ247" s="15">
        <f>SUM(AG247,AO247,AV247)</f>
        <v>0</v>
      </c>
      <c r="BA247" s="78" t="e">
        <f t="shared" si="208"/>
        <v>#DIV/0!</v>
      </c>
      <c r="BD247" s="1"/>
      <c r="BF247" s="15">
        <f t="shared" si="203"/>
        <v>0</v>
      </c>
      <c r="BG247" s="15">
        <f t="shared" si="215"/>
        <v>0</v>
      </c>
      <c r="BH247" s="15">
        <f t="shared" si="216"/>
        <v>0</v>
      </c>
      <c r="BN247" s="15">
        <f t="shared" si="204"/>
        <v>0</v>
      </c>
      <c r="BO247" s="15">
        <f t="shared" si="235"/>
        <v>0</v>
      </c>
      <c r="BP247" s="15">
        <f t="shared" si="217"/>
        <v>0</v>
      </c>
      <c r="BU247" s="15">
        <f t="shared" si="205"/>
        <v>0</v>
      </c>
      <c r="BV247" s="15">
        <f t="shared" si="218"/>
        <v>0</v>
      </c>
      <c r="BW247" s="15">
        <f t="shared" si="219"/>
        <v>0</v>
      </c>
      <c r="BX247" s="15">
        <f t="shared" si="236"/>
        <v>0</v>
      </c>
      <c r="BY247" s="15">
        <f t="shared" si="237"/>
        <v>0</v>
      </c>
      <c r="BZ247" s="1" t="e">
        <f t="shared" si="227"/>
        <v>#DIV/0!</v>
      </c>
      <c r="CA247" s="82"/>
      <c r="CG247" s="15">
        <f>COUNTIF(CB247:CF247,"PR")</f>
        <v>0</v>
      </c>
      <c r="CH247" s="15">
        <f>COUNTIF(CB247:CF247,"AB")</f>
        <v>0</v>
      </c>
      <c r="CI247" s="15">
        <f t="shared" si="220"/>
        <v>0</v>
      </c>
      <c r="CN247" s="15">
        <f>COUNTIF(CJ247:CM247,"PR")</f>
        <v>0</v>
      </c>
      <c r="CO247" s="15">
        <f>COUNTIF(CJ247:CM247,"AB")</f>
        <v>0</v>
      </c>
      <c r="CP247" s="15">
        <f t="shared" si="221"/>
        <v>0</v>
      </c>
      <c r="CU247" s="15">
        <f t="shared" si="206"/>
        <v>0</v>
      </c>
      <c r="CV247" s="15">
        <f t="shared" si="228"/>
        <v>0</v>
      </c>
      <c r="CW247" s="15">
        <f t="shared" si="229"/>
        <v>0</v>
      </c>
      <c r="CX247" s="15">
        <f>CG247+CN247+CU247</f>
        <v>0</v>
      </c>
      <c r="CY247" s="15" t="e">
        <f>SUM(CE247,#REF!,CS247)</f>
        <v>#REF!</v>
      </c>
      <c r="CZ247" s="1" t="e">
        <f t="shared" si="210"/>
        <v>#REF!</v>
      </c>
      <c r="DA247" s="82"/>
    </row>
    <row r="248" spans="1:105">
      <c r="A248" s="68"/>
      <c r="B248" s="14"/>
      <c r="H248" s="15">
        <f t="shared" si="224"/>
        <v>0</v>
      </c>
      <c r="I248" s="18">
        <f t="shared" si="225"/>
        <v>0</v>
      </c>
      <c r="J248" s="15">
        <f t="shared" si="226"/>
        <v>0</v>
      </c>
      <c r="O248" s="15">
        <f t="shared" si="200"/>
        <v>0</v>
      </c>
      <c r="P248" s="18">
        <f t="shared" si="230"/>
        <v>0</v>
      </c>
      <c r="Q248" s="15">
        <f t="shared" si="231"/>
        <v>0</v>
      </c>
      <c r="U248" s="71"/>
      <c r="V248" s="15">
        <f t="shared" si="232"/>
        <v>0</v>
      </c>
      <c r="W248" s="15">
        <f t="shared" si="233"/>
        <v>0</v>
      </c>
      <c r="X248" s="15">
        <f t="shared" si="223"/>
        <v>0</v>
      </c>
      <c r="Y248" s="15">
        <f>J248+Q248+X248</f>
        <v>0</v>
      </c>
      <c r="Z248" s="15">
        <f>SUM(H248,O248,V248)</f>
        <v>0</v>
      </c>
      <c r="AA248" s="78" t="e">
        <f t="shared" si="207"/>
        <v>#DIV/0!</v>
      </c>
      <c r="AB248" s="82"/>
      <c r="AG248" s="15">
        <f t="shared" si="201"/>
        <v>0</v>
      </c>
      <c r="AH248" s="15">
        <f t="shared" si="211"/>
        <v>0</v>
      </c>
      <c r="AI248" s="15">
        <f t="shared" si="212"/>
        <v>0</v>
      </c>
      <c r="AO248" s="15">
        <f t="shared" si="202"/>
        <v>0</v>
      </c>
      <c r="AP248" s="15">
        <f t="shared" si="213"/>
        <v>0</v>
      </c>
      <c r="AQ248" s="15">
        <f t="shared" si="214"/>
        <v>0</v>
      </c>
      <c r="AV248" s="15">
        <f>COUNTIF(AR248:AU248,"PR")</f>
        <v>0</v>
      </c>
      <c r="AW248" s="15">
        <f t="shared" si="234"/>
        <v>0</v>
      </c>
      <c r="AX248" s="15">
        <f t="shared" si="222"/>
        <v>0</v>
      </c>
      <c r="AY248" s="15">
        <f>AI248+AQ248+AX248</f>
        <v>0</v>
      </c>
      <c r="AZ248" s="15">
        <f>SUM(AG248,AO248,AV248)</f>
        <v>0</v>
      </c>
      <c r="BA248" s="78" t="e">
        <f t="shared" si="208"/>
        <v>#DIV/0!</v>
      </c>
      <c r="BD248" s="1"/>
      <c r="BF248" s="15">
        <f t="shared" si="203"/>
        <v>0</v>
      </c>
      <c r="BG248" s="15">
        <f t="shared" si="215"/>
        <v>0</v>
      </c>
      <c r="BH248" s="15">
        <f t="shared" si="216"/>
        <v>0</v>
      </c>
      <c r="BN248" s="15">
        <f t="shared" si="204"/>
        <v>0</v>
      </c>
      <c r="BO248" s="15">
        <f t="shared" si="235"/>
        <v>0</v>
      </c>
      <c r="BP248" s="15">
        <f t="shared" si="217"/>
        <v>0</v>
      </c>
      <c r="BU248" s="15">
        <f t="shared" si="205"/>
        <v>0</v>
      </c>
      <c r="BV248" s="15">
        <f t="shared" si="218"/>
        <v>0</v>
      </c>
      <c r="BW248" s="15">
        <f t="shared" si="219"/>
        <v>0</v>
      </c>
      <c r="BX248" s="15">
        <f t="shared" si="236"/>
        <v>0</v>
      </c>
      <c r="BY248" s="15">
        <f t="shared" si="237"/>
        <v>0</v>
      </c>
      <c r="BZ248" s="1" t="e">
        <f t="shared" si="227"/>
        <v>#DIV/0!</v>
      </c>
      <c r="CA248" s="82"/>
      <c r="CG248" s="15">
        <f>COUNTIF(CB248:CF248,"PR")</f>
        <v>0</v>
      </c>
      <c r="CH248" s="15">
        <f>COUNTIF(CB248:CF248,"AB")</f>
        <v>0</v>
      </c>
      <c r="CI248" s="15">
        <f t="shared" si="220"/>
        <v>0</v>
      </c>
      <c r="CN248" s="15">
        <f>COUNTIF(CJ248:CM248,"PR")</f>
        <v>0</v>
      </c>
      <c r="CO248" s="15">
        <f>COUNTIF(CJ248:CM248,"AB")</f>
        <v>0</v>
      </c>
      <c r="CP248" s="15">
        <f t="shared" si="221"/>
        <v>0</v>
      </c>
      <c r="CU248" s="15">
        <f t="shared" si="206"/>
        <v>0</v>
      </c>
      <c r="CV248" s="15">
        <f t="shared" si="228"/>
        <v>0</v>
      </c>
      <c r="CW248" s="15">
        <f t="shared" si="229"/>
        <v>0</v>
      </c>
      <c r="CX248" s="15">
        <f>CG248+CN248+CU248</f>
        <v>0</v>
      </c>
      <c r="CY248" s="15" t="e">
        <f>SUM(CE248,#REF!,CS248)</f>
        <v>#REF!</v>
      </c>
      <c r="CZ248" s="1" t="e">
        <f t="shared" si="210"/>
        <v>#REF!</v>
      </c>
      <c r="DA248" s="82"/>
    </row>
    <row r="249" spans="1:105">
      <c r="A249" s="68"/>
      <c r="B249" s="14"/>
      <c r="H249" s="15">
        <f t="shared" si="224"/>
        <v>0</v>
      </c>
      <c r="I249" s="18">
        <f t="shared" si="225"/>
        <v>0</v>
      </c>
      <c r="J249" s="15">
        <f t="shared" si="226"/>
        <v>0</v>
      </c>
      <c r="O249" s="15">
        <f t="shared" si="200"/>
        <v>0</v>
      </c>
      <c r="P249" s="18">
        <f t="shared" si="230"/>
        <v>0</v>
      </c>
      <c r="Q249" s="15">
        <f t="shared" si="231"/>
        <v>0</v>
      </c>
      <c r="U249" s="71"/>
      <c r="V249" s="15">
        <f t="shared" si="232"/>
        <v>0</v>
      </c>
      <c r="W249" s="15">
        <f t="shared" si="233"/>
        <v>0</v>
      </c>
      <c r="X249" s="15">
        <f t="shared" si="223"/>
        <v>0</v>
      </c>
      <c r="Y249" s="15">
        <f>J249+Q249+X249</f>
        <v>0</v>
      </c>
      <c r="Z249" s="15">
        <f>SUM(H249,O249,V249)</f>
        <v>0</v>
      </c>
      <c r="AA249" s="78" t="e">
        <f t="shared" si="207"/>
        <v>#DIV/0!</v>
      </c>
      <c r="AB249" s="82"/>
      <c r="AG249" s="15">
        <f t="shared" si="201"/>
        <v>0</v>
      </c>
      <c r="AH249" s="15">
        <f t="shared" si="211"/>
        <v>0</v>
      </c>
      <c r="AI249" s="15">
        <f t="shared" si="212"/>
        <v>0</v>
      </c>
      <c r="AO249" s="15">
        <f t="shared" si="202"/>
        <v>0</v>
      </c>
      <c r="AP249" s="15">
        <f t="shared" si="213"/>
        <v>0</v>
      </c>
      <c r="AQ249" s="15">
        <f t="shared" si="214"/>
        <v>0</v>
      </c>
      <c r="AV249" s="15">
        <f>COUNTIF(AR249:AU249,"PR")</f>
        <v>0</v>
      </c>
      <c r="AW249" s="15">
        <f t="shared" si="234"/>
        <v>0</v>
      </c>
      <c r="AX249" s="15">
        <f t="shared" si="222"/>
        <v>0</v>
      </c>
      <c r="AY249" s="15">
        <f>AI249+AQ249+AX249</f>
        <v>0</v>
      </c>
      <c r="AZ249" s="15">
        <f>SUM(AG249,AO249,AV249)</f>
        <v>0</v>
      </c>
      <c r="BA249" s="78" t="e">
        <f t="shared" si="208"/>
        <v>#DIV/0!</v>
      </c>
      <c r="BD249" s="1"/>
      <c r="BF249" s="15">
        <f t="shared" si="203"/>
        <v>0</v>
      </c>
      <c r="BG249" s="15">
        <f t="shared" si="215"/>
        <v>0</v>
      </c>
      <c r="BH249" s="15">
        <f t="shared" si="216"/>
        <v>0</v>
      </c>
      <c r="BN249" s="15">
        <f t="shared" si="204"/>
        <v>0</v>
      </c>
      <c r="BO249" s="15">
        <f t="shared" si="235"/>
        <v>0</v>
      </c>
      <c r="BP249" s="15">
        <f t="shared" si="217"/>
        <v>0</v>
      </c>
      <c r="BU249" s="15">
        <f t="shared" si="205"/>
        <v>0</v>
      </c>
      <c r="BV249" s="15">
        <f t="shared" si="218"/>
        <v>0</v>
      </c>
      <c r="BW249" s="15">
        <f t="shared" si="219"/>
        <v>0</v>
      </c>
      <c r="BX249" s="15">
        <f t="shared" si="236"/>
        <v>0</v>
      </c>
      <c r="BY249" s="15">
        <f t="shared" si="237"/>
        <v>0</v>
      </c>
      <c r="BZ249" s="1" t="e">
        <f t="shared" si="227"/>
        <v>#DIV/0!</v>
      </c>
      <c r="CA249" s="82"/>
      <c r="CG249" s="15">
        <f>COUNTIF(CB249:CF249,"PR")</f>
        <v>0</v>
      </c>
      <c r="CH249" s="15">
        <f>COUNTIF(CB249:CF249,"AB")</f>
        <v>0</v>
      </c>
      <c r="CI249" s="15">
        <f t="shared" si="220"/>
        <v>0</v>
      </c>
      <c r="CN249" s="15">
        <f>COUNTIF(CJ249:CM249,"PR")</f>
        <v>0</v>
      </c>
      <c r="CO249" s="15">
        <f>COUNTIF(CJ249:CM249,"AB")</f>
        <v>0</v>
      </c>
      <c r="CP249" s="15">
        <f t="shared" si="221"/>
        <v>0</v>
      </c>
      <c r="CU249" s="15">
        <f t="shared" si="206"/>
        <v>0</v>
      </c>
      <c r="CV249" s="15">
        <f t="shared" si="228"/>
        <v>0</v>
      </c>
      <c r="CW249" s="15">
        <f t="shared" si="229"/>
        <v>0</v>
      </c>
      <c r="CX249" s="15">
        <f>CG249+CN249+CU249</f>
        <v>0</v>
      </c>
      <c r="CY249" s="15" t="e">
        <f>SUM(CE249,#REF!,CS249)</f>
        <v>#REF!</v>
      </c>
      <c r="CZ249" s="1" t="e">
        <f t="shared" si="210"/>
        <v>#REF!</v>
      </c>
      <c r="DA249" s="82"/>
    </row>
    <row r="250" spans="1:105">
      <c r="A250" s="68"/>
      <c r="B250" s="14"/>
      <c r="H250" s="15">
        <f t="shared" si="224"/>
        <v>0</v>
      </c>
      <c r="I250" s="18">
        <f t="shared" si="225"/>
        <v>0</v>
      </c>
      <c r="J250" s="15">
        <f t="shared" si="226"/>
        <v>0</v>
      </c>
      <c r="O250" s="15">
        <f t="shared" si="200"/>
        <v>0</v>
      </c>
      <c r="P250" s="18">
        <f t="shared" si="230"/>
        <v>0</v>
      </c>
      <c r="Q250" s="15">
        <f t="shared" si="231"/>
        <v>0</v>
      </c>
      <c r="U250" s="71"/>
      <c r="V250" s="15">
        <f t="shared" si="232"/>
        <v>0</v>
      </c>
      <c r="W250" s="15">
        <f t="shared" si="233"/>
        <v>0</v>
      </c>
      <c r="X250" s="15">
        <f t="shared" si="223"/>
        <v>0</v>
      </c>
      <c r="Y250" s="15">
        <f>J250+Q250+X250</f>
        <v>0</v>
      </c>
      <c r="Z250" s="15">
        <f>SUM(H250,O250,V250)</f>
        <v>0</v>
      </c>
      <c r="AA250" s="78" t="e">
        <f t="shared" si="207"/>
        <v>#DIV/0!</v>
      </c>
      <c r="AB250" s="82"/>
      <c r="AG250" s="15">
        <f t="shared" si="201"/>
        <v>0</v>
      </c>
      <c r="AH250" s="15">
        <f t="shared" si="211"/>
        <v>0</v>
      </c>
      <c r="AI250" s="15">
        <f t="shared" si="212"/>
        <v>0</v>
      </c>
      <c r="AO250" s="15">
        <f t="shared" si="202"/>
        <v>0</v>
      </c>
      <c r="AP250" s="15">
        <f t="shared" si="213"/>
        <v>0</v>
      </c>
      <c r="AQ250" s="15">
        <f t="shared" si="214"/>
        <v>0</v>
      </c>
      <c r="AV250" s="15">
        <f>COUNTIF(AR250:AU250,"PR")</f>
        <v>0</v>
      </c>
      <c r="AW250" s="15">
        <f t="shared" si="234"/>
        <v>0</v>
      </c>
      <c r="AX250" s="15">
        <f t="shared" si="222"/>
        <v>0</v>
      </c>
      <c r="AY250" s="15">
        <f>AI250+AQ250+AX250</f>
        <v>0</v>
      </c>
      <c r="AZ250" s="15">
        <f>SUM(AG250,AO250,AV250)</f>
        <v>0</v>
      </c>
      <c r="BA250" s="78" t="e">
        <f t="shared" si="208"/>
        <v>#DIV/0!</v>
      </c>
      <c r="BD250" s="1"/>
      <c r="BF250" s="15">
        <f t="shared" si="203"/>
        <v>0</v>
      </c>
      <c r="BG250" s="15">
        <f t="shared" si="215"/>
        <v>0</v>
      </c>
      <c r="BH250" s="15">
        <f t="shared" si="216"/>
        <v>0</v>
      </c>
      <c r="BN250" s="15">
        <f t="shared" si="204"/>
        <v>0</v>
      </c>
      <c r="BO250" s="15">
        <f t="shared" si="235"/>
        <v>0</v>
      </c>
      <c r="BP250" s="15">
        <f t="shared" si="217"/>
        <v>0</v>
      </c>
      <c r="BU250" s="15">
        <f t="shared" si="205"/>
        <v>0</v>
      </c>
      <c r="BV250" s="15">
        <f t="shared" si="218"/>
        <v>0</v>
      </c>
      <c r="BW250" s="15">
        <f t="shared" si="219"/>
        <v>0</v>
      </c>
      <c r="BX250" s="15">
        <f t="shared" si="236"/>
        <v>0</v>
      </c>
      <c r="BY250" s="15">
        <f t="shared" si="237"/>
        <v>0</v>
      </c>
      <c r="BZ250" s="1" t="e">
        <f t="shared" si="227"/>
        <v>#DIV/0!</v>
      </c>
      <c r="CA250" s="82"/>
      <c r="CG250" s="15">
        <f>COUNTIF(CB250:CF250,"PR")</f>
        <v>0</v>
      </c>
      <c r="CH250" s="15">
        <f>COUNTIF(CB250:CF250,"AB")</f>
        <v>0</v>
      </c>
      <c r="CI250" s="15">
        <f t="shared" si="220"/>
        <v>0</v>
      </c>
      <c r="CN250" s="15">
        <f>COUNTIF(CJ250:CM250,"PR")</f>
        <v>0</v>
      </c>
      <c r="CO250" s="15">
        <f>COUNTIF(CJ250:CM250,"AB")</f>
        <v>0</v>
      </c>
      <c r="CP250" s="15">
        <f t="shared" si="221"/>
        <v>0</v>
      </c>
      <c r="CU250" s="15">
        <f t="shared" si="206"/>
        <v>0</v>
      </c>
      <c r="CV250" s="15">
        <f t="shared" si="228"/>
        <v>0</v>
      </c>
      <c r="CW250" s="15">
        <f t="shared" si="229"/>
        <v>0</v>
      </c>
      <c r="CX250" s="15">
        <f>CG250+CN250+CU250</f>
        <v>0</v>
      </c>
      <c r="CY250" s="15" t="e">
        <f>SUM(CE250,#REF!,CS250)</f>
        <v>#REF!</v>
      </c>
      <c r="CZ250" s="1" t="e">
        <f t="shared" si="210"/>
        <v>#REF!</v>
      </c>
      <c r="DA250" s="82"/>
    </row>
    <row r="251" spans="1:105">
      <c r="A251" s="68"/>
      <c r="B251" s="14"/>
      <c r="H251" s="15">
        <f t="shared" si="224"/>
        <v>0</v>
      </c>
      <c r="I251" s="18">
        <f t="shared" si="225"/>
        <v>0</v>
      </c>
      <c r="J251" s="15">
        <f t="shared" si="226"/>
        <v>0</v>
      </c>
      <c r="O251" s="15">
        <f t="shared" si="200"/>
        <v>0</v>
      </c>
      <c r="P251" s="18">
        <f t="shared" si="230"/>
        <v>0</v>
      </c>
      <c r="Q251" s="15">
        <f t="shared" si="231"/>
        <v>0</v>
      </c>
      <c r="U251" s="71"/>
      <c r="V251" s="15">
        <f t="shared" si="232"/>
        <v>0</v>
      </c>
      <c r="W251" s="15">
        <f t="shared" si="233"/>
        <v>0</v>
      </c>
      <c r="X251" s="15">
        <f t="shared" si="223"/>
        <v>0</v>
      </c>
      <c r="Y251" s="15">
        <f>J251+Q251+X251</f>
        <v>0</v>
      </c>
      <c r="Z251" s="15">
        <f>SUM(H251,O251,V251)</f>
        <v>0</v>
      </c>
      <c r="AA251" s="78" t="e">
        <f t="shared" si="207"/>
        <v>#DIV/0!</v>
      </c>
      <c r="AB251" s="82"/>
      <c r="AG251" s="15">
        <f t="shared" si="201"/>
        <v>0</v>
      </c>
      <c r="AH251" s="15">
        <f t="shared" si="211"/>
        <v>0</v>
      </c>
      <c r="AI251" s="15">
        <f t="shared" si="212"/>
        <v>0</v>
      </c>
      <c r="AO251" s="15">
        <f t="shared" si="202"/>
        <v>0</v>
      </c>
      <c r="AP251" s="15">
        <f t="shared" si="213"/>
        <v>0</v>
      </c>
      <c r="AQ251" s="15">
        <f t="shared" si="214"/>
        <v>0</v>
      </c>
      <c r="AV251" s="15">
        <f>COUNTIF(AR251:AU251,"PR")</f>
        <v>0</v>
      </c>
      <c r="AW251" s="15">
        <f t="shared" si="234"/>
        <v>0</v>
      </c>
      <c r="AX251" s="15">
        <f t="shared" si="222"/>
        <v>0</v>
      </c>
      <c r="AY251" s="15">
        <f>AI251+AQ251+AX251</f>
        <v>0</v>
      </c>
      <c r="AZ251" s="15">
        <f>SUM(AG251,AO251,AV251)</f>
        <v>0</v>
      </c>
      <c r="BA251" s="78" t="e">
        <f t="shared" si="208"/>
        <v>#DIV/0!</v>
      </c>
      <c r="BD251" s="1"/>
      <c r="BF251" s="15">
        <f t="shared" si="203"/>
        <v>0</v>
      </c>
      <c r="BG251" s="15">
        <f t="shared" si="215"/>
        <v>0</v>
      </c>
      <c r="BH251" s="15">
        <f t="shared" si="216"/>
        <v>0</v>
      </c>
      <c r="BN251" s="15">
        <f t="shared" si="204"/>
        <v>0</v>
      </c>
      <c r="BO251" s="15">
        <f t="shared" si="235"/>
        <v>0</v>
      </c>
      <c r="BP251" s="15">
        <f t="shared" si="217"/>
        <v>0</v>
      </c>
      <c r="BU251" s="15">
        <f t="shared" si="205"/>
        <v>0</v>
      </c>
      <c r="BV251" s="15">
        <f t="shared" si="218"/>
        <v>0</v>
      </c>
      <c r="BW251" s="15">
        <f t="shared" si="219"/>
        <v>0</v>
      </c>
      <c r="BX251" s="15">
        <f t="shared" si="236"/>
        <v>0</v>
      </c>
      <c r="BY251" s="15">
        <f t="shared" si="237"/>
        <v>0</v>
      </c>
      <c r="BZ251" s="1" t="e">
        <f t="shared" si="227"/>
        <v>#DIV/0!</v>
      </c>
      <c r="CA251" s="82"/>
      <c r="CG251" s="15">
        <f>COUNTIF(CB251:CF251,"PR")</f>
        <v>0</v>
      </c>
      <c r="CH251" s="15">
        <f>COUNTIF(CB251:CF251,"AB")</f>
        <v>0</v>
      </c>
      <c r="CI251" s="15">
        <f t="shared" si="220"/>
        <v>0</v>
      </c>
      <c r="CN251" s="15">
        <f>COUNTIF(CJ251:CM251,"PR")</f>
        <v>0</v>
      </c>
      <c r="CO251" s="15">
        <f>COUNTIF(CJ251:CM251,"AB")</f>
        <v>0</v>
      </c>
      <c r="CP251" s="15">
        <f t="shared" si="221"/>
        <v>0</v>
      </c>
      <c r="CU251" s="15">
        <f t="shared" si="206"/>
        <v>0</v>
      </c>
      <c r="CV251" s="15">
        <f t="shared" si="228"/>
        <v>0</v>
      </c>
      <c r="CW251" s="15">
        <f t="shared" si="229"/>
        <v>0</v>
      </c>
      <c r="CX251" s="15">
        <f>CG251+CN251+CU251</f>
        <v>0</v>
      </c>
      <c r="CY251" s="15" t="e">
        <f>SUM(CE251,#REF!,CS251)</f>
        <v>#REF!</v>
      </c>
      <c r="CZ251" s="1" t="e">
        <f t="shared" si="210"/>
        <v>#REF!</v>
      </c>
      <c r="DA251" s="82"/>
    </row>
    <row r="252" spans="1:105">
      <c r="A252" s="68"/>
      <c r="B252" s="14"/>
      <c r="H252" s="15">
        <f t="shared" si="224"/>
        <v>0</v>
      </c>
      <c r="I252" s="18">
        <f t="shared" si="225"/>
        <v>0</v>
      </c>
      <c r="J252" s="15">
        <f t="shared" si="226"/>
        <v>0</v>
      </c>
      <c r="O252" s="15">
        <f t="shared" si="200"/>
        <v>0</v>
      </c>
      <c r="P252" s="18">
        <f t="shared" si="230"/>
        <v>0</v>
      </c>
      <c r="Q252" s="15">
        <f t="shared" si="231"/>
        <v>0</v>
      </c>
      <c r="U252" s="71"/>
      <c r="V252" s="15">
        <f t="shared" si="232"/>
        <v>0</v>
      </c>
      <c r="W252" s="15">
        <f t="shared" si="233"/>
        <v>0</v>
      </c>
      <c r="X252" s="15">
        <f t="shared" si="223"/>
        <v>0</v>
      </c>
      <c r="Y252" s="15">
        <f>J252+Q252+X252</f>
        <v>0</v>
      </c>
      <c r="Z252" s="15">
        <f>SUM(H252,O252,V252)</f>
        <v>0</v>
      </c>
      <c r="AA252" s="78" t="e">
        <f t="shared" si="207"/>
        <v>#DIV/0!</v>
      </c>
      <c r="AB252" s="82"/>
      <c r="AG252" s="15">
        <f t="shared" si="201"/>
        <v>0</v>
      </c>
      <c r="AH252" s="15">
        <f t="shared" si="211"/>
        <v>0</v>
      </c>
      <c r="AI252" s="15">
        <f t="shared" si="212"/>
        <v>0</v>
      </c>
      <c r="AO252" s="15">
        <f t="shared" si="202"/>
        <v>0</v>
      </c>
      <c r="AP252" s="15">
        <f t="shared" si="213"/>
        <v>0</v>
      </c>
      <c r="AQ252" s="15">
        <f t="shared" si="214"/>
        <v>0</v>
      </c>
      <c r="AV252" s="15">
        <f>COUNTIF(AR252:AU252,"PR")</f>
        <v>0</v>
      </c>
      <c r="AW252" s="15">
        <f t="shared" si="234"/>
        <v>0</v>
      </c>
      <c r="AX252" s="15">
        <f t="shared" si="222"/>
        <v>0</v>
      </c>
      <c r="AY252" s="15">
        <f>AI252+AQ252+AX252</f>
        <v>0</v>
      </c>
      <c r="AZ252" s="15">
        <f>SUM(AG252,AO252,AV252)</f>
        <v>0</v>
      </c>
      <c r="BA252" s="78" t="e">
        <f t="shared" si="208"/>
        <v>#DIV/0!</v>
      </c>
      <c r="BD252" s="1"/>
      <c r="BF252" s="15">
        <f t="shared" si="203"/>
        <v>0</v>
      </c>
      <c r="BG252" s="15">
        <f t="shared" si="215"/>
        <v>0</v>
      </c>
      <c r="BH252" s="15">
        <f t="shared" si="216"/>
        <v>0</v>
      </c>
      <c r="BN252" s="15">
        <f t="shared" si="204"/>
        <v>0</v>
      </c>
      <c r="BO252" s="15">
        <f t="shared" si="235"/>
        <v>0</v>
      </c>
      <c r="BP252" s="15">
        <f t="shared" si="217"/>
        <v>0</v>
      </c>
      <c r="BU252" s="15">
        <f t="shared" si="205"/>
        <v>0</v>
      </c>
      <c r="BV252" s="15">
        <f t="shared" si="218"/>
        <v>0</v>
      </c>
      <c r="BW252" s="15">
        <f t="shared" si="219"/>
        <v>0</v>
      </c>
      <c r="BX252" s="15">
        <f t="shared" si="236"/>
        <v>0</v>
      </c>
      <c r="BY252" s="15">
        <f t="shared" si="237"/>
        <v>0</v>
      </c>
      <c r="BZ252" s="1" t="e">
        <f t="shared" si="227"/>
        <v>#DIV/0!</v>
      </c>
      <c r="CA252" s="82"/>
      <c r="CG252" s="15">
        <f>COUNTIF(CB252:CF252,"PR")</f>
        <v>0</v>
      </c>
      <c r="CH252" s="15">
        <f>COUNTIF(CB252:CF252,"AB")</f>
        <v>0</v>
      </c>
      <c r="CI252" s="15">
        <f t="shared" si="220"/>
        <v>0</v>
      </c>
      <c r="CN252" s="15">
        <f>COUNTIF(CJ252:CM252,"PR")</f>
        <v>0</v>
      </c>
      <c r="CO252" s="15">
        <f>COUNTIF(CJ252:CM252,"AB")</f>
        <v>0</v>
      </c>
      <c r="CP252" s="15">
        <f t="shared" si="221"/>
        <v>0</v>
      </c>
      <c r="CU252" s="15">
        <f t="shared" si="206"/>
        <v>0</v>
      </c>
      <c r="CV252" s="15">
        <f t="shared" si="228"/>
        <v>0</v>
      </c>
      <c r="CW252" s="15">
        <f t="shared" si="229"/>
        <v>0</v>
      </c>
      <c r="CX252" s="15">
        <f>CG252+CN252+CU252</f>
        <v>0</v>
      </c>
      <c r="CY252" s="15" t="e">
        <f>SUM(CE252,#REF!,CS252)</f>
        <v>#REF!</v>
      </c>
      <c r="CZ252" s="1" t="e">
        <f t="shared" si="210"/>
        <v>#REF!</v>
      </c>
      <c r="DA252" s="82"/>
    </row>
    <row r="253" spans="1:105">
      <c r="A253" s="68"/>
      <c r="B253" s="14"/>
      <c r="H253" s="15">
        <f t="shared" si="224"/>
        <v>0</v>
      </c>
      <c r="I253" s="18">
        <f t="shared" si="225"/>
        <v>0</v>
      </c>
      <c r="J253" s="15">
        <f t="shared" si="226"/>
        <v>0</v>
      </c>
      <c r="O253" s="15">
        <f t="shared" si="200"/>
        <v>0</v>
      </c>
      <c r="P253" s="18">
        <f t="shared" si="230"/>
        <v>0</v>
      </c>
      <c r="Q253" s="15">
        <f t="shared" si="231"/>
        <v>0</v>
      </c>
      <c r="U253" s="71"/>
      <c r="V253" s="15">
        <f t="shared" si="232"/>
        <v>0</v>
      </c>
      <c r="W253" s="15">
        <f t="shared" si="233"/>
        <v>0</v>
      </c>
      <c r="X253" s="15">
        <f t="shared" si="223"/>
        <v>0</v>
      </c>
      <c r="Y253" s="15">
        <f>J253+Q253+X253</f>
        <v>0</v>
      </c>
      <c r="Z253" s="15">
        <f>SUM(H253,O253,V253)</f>
        <v>0</v>
      </c>
      <c r="AA253" s="78" t="e">
        <f t="shared" si="207"/>
        <v>#DIV/0!</v>
      </c>
      <c r="AB253" s="82"/>
      <c r="AG253" s="15">
        <f t="shared" si="201"/>
        <v>0</v>
      </c>
      <c r="AH253" s="15">
        <f t="shared" si="211"/>
        <v>0</v>
      </c>
      <c r="AI253" s="15">
        <f t="shared" si="212"/>
        <v>0</v>
      </c>
      <c r="AO253" s="15">
        <f t="shared" si="202"/>
        <v>0</v>
      </c>
      <c r="AP253" s="15">
        <f t="shared" si="213"/>
        <v>0</v>
      </c>
      <c r="AQ253" s="15">
        <f t="shared" si="214"/>
        <v>0</v>
      </c>
      <c r="AV253" s="15">
        <f>COUNTIF(AR253:AU253,"PR")</f>
        <v>0</v>
      </c>
      <c r="AW253" s="15">
        <f t="shared" si="234"/>
        <v>0</v>
      </c>
      <c r="AX253" s="15">
        <f t="shared" si="222"/>
        <v>0</v>
      </c>
      <c r="AY253" s="15">
        <f>AI253+AQ253+AX253</f>
        <v>0</v>
      </c>
      <c r="AZ253" s="15">
        <f>SUM(AG253,AO253,AV253)</f>
        <v>0</v>
      </c>
      <c r="BA253" s="78" t="e">
        <f t="shared" si="208"/>
        <v>#DIV/0!</v>
      </c>
      <c r="BD253" s="1"/>
      <c r="BF253" s="15">
        <f t="shared" si="203"/>
        <v>0</v>
      </c>
      <c r="BG253" s="15">
        <f t="shared" si="215"/>
        <v>0</v>
      </c>
      <c r="BH253" s="15">
        <f t="shared" si="216"/>
        <v>0</v>
      </c>
      <c r="BN253" s="15">
        <f t="shared" si="204"/>
        <v>0</v>
      </c>
      <c r="BO253" s="15">
        <f t="shared" si="235"/>
        <v>0</v>
      </c>
      <c r="BP253" s="15">
        <f t="shared" si="217"/>
        <v>0</v>
      </c>
      <c r="BU253" s="15">
        <f t="shared" si="205"/>
        <v>0</v>
      </c>
      <c r="BV253" s="15">
        <f t="shared" si="218"/>
        <v>0</v>
      </c>
      <c r="BW253" s="15">
        <f t="shared" si="219"/>
        <v>0</v>
      </c>
      <c r="BX253" s="15">
        <f t="shared" si="236"/>
        <v>0</v>
      </c>
      <c r="BY253" s="15">
        <f t="shared" si="237"/>
        <v>0</v>
      </c>
      <c r="BZ253" s="1" t="e">
        <f t="shared" si="227"/>
        <v>#DIV/0!</v>
      </c>
      <c r="CA253" s="82"/>
      <c r="CG253" s="15">
        <f>COUNTIF(CB253:CF253,"PR")</f>
        <v>0</v>
      </c>
      <c r="CH253" s="15">
        <f>COUNTIF(CB253:CF253,"AB")</f>
        <v>0</v>
      </c>
      <c r="CI253" s="15">
        <f t="shared" si="220"/>
        <v>0</v>
      </c>
      <c r="CN253" s="15">
        <f>COUNTIF(CJ253:CM253,"PR")</f>
        <v>0</v>
      </c>
      <c r="CO253" s="15">
        <f>COUNTIF(CJ253:CM253,"AB")</f>
        <v>0</v>
      </c>
      <c r="CP253" s="15">
        <f t="shared" si="221"/>
        <v>0</v>
      </c>
      <c r="CU253" s="15">
        <f t="shared" si="206"/>
        <v>0</v>
      </c>
      <c r="CV253" s="15">
        <f t="shared" si="228"/>
        <v>0</v>
      </c>
      <c r="CW253" s="15">
        <f t="shared" si="229"/>
        <v>0</v>
      </c>
      <c r="CX253" s="15">
        <f>CG253+CN253+CU253</f>
        <v>0</v>
      </c>
      <c r="CY253" s="15" t="e">
        <f>SUM(CE253,#REF!,CS253)</f>
        <v>#REF!</v>
      </c>
      <c r="CZ253" s="1" t="e">
        <f t="shared" si="210"/>
        <v>#REF!</v>
      </c>
      <c r="DA253" s="82"/>
    </row>
    <row r="254" spans="1:105">
      <c r="A254" s="68"/>
      <c r="B254" s="14"/>
      <c r="H254" s="15">
        <f t="shared" si="224"/>
        <v>0</v>
      </c>
      <c r="I254" s="18">
        <f t="shared" si="225"/>
        <v>0</v>
      </c>
      <c r="J254" s="15">
        <f t="shared" si="226"/>
        <v>0</v>
      </c>
      <c r="O254" s="15">
        <f t="shared" si="200"/>
        <v>0</v>
      </c>
      <c r="P254" s="18">
        <f t="shared" si="230"/>
        <v>0</v>
      </c>
      <c r="Q254" s="15">
        <f t="shared" si="231"/>
        <v>0</v>
      </c>
      <c r="U254" s="71"/>
      <c r="V254" s="15">
        <f t="shared" si="232"/>
        <v>0</v>
      </c>
      <c r="W254" s="15">
        <f t="shared" si="233"/>
        <v>0</v>
      </c>
      <c r="X254" s="15">
        <f t="shared" si="223"/>
        <v>0</v>
      </c>
      <c r="Y254" s="15">
        <f>J254+Q254+X254</f>
        <v>0</v>
      </c>
      <c r="Z254" s="15">
        <f>SUM(H254,O254,V254)</f>
        <v>0</v>
      </c>
      <c r="AA254" s="78" t="e">
        <f t="shared" si="207"/>
        <v>#DIV/0!</v>
      </c>
      <c r="AB254" s="82"/>
      <c r="AG254" s="15">
        <f t="shared" si="201"/>
        <v>0</v>
      </c>
      <c r="AH254" s="15">
        <f t="shared" si="211"/>
        <v>0</v>
      </c>
      <c r="AI254" s="15">
        <f t="shared" si="212"/>
        <v>0</v>
      </c>
      <c r="AO254" s="15">
        <f t="shared" si="202"/>
        <v>0</v>
      </c>
      <c r="AP254" s="15">
        <f t="shared" si="213"/>
        <v>0</v>
      </c>
      <c r="AQ254" s="15">
        <f t="shared" si="214"/>
        <v>0</v>
      </c>
      <c r="AV254" s="15">
        <f>COUNTIF(AR254:AU254,"PR")</f>
        <v>0</v>
      </c>
      <c r="AW254" s="15">
        <f t="shared" si="234"/>
        <v>0</v>
      </c>
      <c r="AX254" s="15">
        <f t="shared" si="222"/>
        <v>0</v>
      </c>
      <c r="AY254" s="15">
        <f>AI254+AQ254+AX254</f>
        <v>0</v>
      </c>
      <c r="AZ254" s="15">
        <f>SUM(AG254,AO254,AV254)</f>
        <v>0</v>
      </c>
      <c r="BA254" s="78" t="e">
        <f t="shared" si="208"/>
        <v>#DIV/0!</v>
      </c>
      <c r="BD254" s="1"/>
      <c r="BF254" s="15">
        <f t="shared" si="203"/>
        <v>0</v>
      </c>
      <c r="BG254" s="15">
        <f t="shared" si="215"/>
        <v>0</v>
      </c>
      <c r="BH254" s="15">
        <f t="shared" si="216"/>
        <v>0</v>
      </c>
      <c r="BN254" s="15">
        <f t="shared" si="204"/>
        <v>0</v>
      </c>
      <c r="BO254" s="15">
        <f t="shared" si="235"/>
        <v>0</v>
      </c>
      <c r="BP254" s="15">
        <f t="shared" si="217"/>
        <v>0</v>
      </c>
      <c r="BU254" s="15">
        <f t="shared" si="205"/>
        <v>0</v>
      </c>
      <c r="BV254" s="15">
        <f t="shared" si="218"/>
        <v>0</v>
      </c>
      <c r="BW254" s="15">
        <f t="shared" si="219"/>
        <v>0</v>
      </c>
      <c r="BX254" s="15">
        <f t="shared" si="236"/>
        <v>0</v>
      </c>
      <c r="BY254" s="15">
        <f t="shared" si="237"/>
        <v>0</v>
      </c>
      <c r="BZ254" s="1" t="e">
        <f t="shared" si="227"/>
        <v>#DIV/0!</v>
      </c>
      <c r="CA254" s="82"/>
      <c r="CG254" s="15">
        <f>COUNTIF(CB254:CF254,"PR")</f>
        <v>0</v>
      </c>
      <c r="CH254" s="15">
        <f>COUNTIF(CB254:CF254,"AB")</f>
        <v>0</v>
      </c>
      <c r="CI254" s="15">
        <f t="shared" si="220"/>
        <v>0</v>
      </c>
      <c r="CN254" s="15">
        <f>COUNTIF(CJ254:CM254,"PR")</f>
        <v>0</v>
      </c>
      <c r="CO254" s="15">
        <f>COUNTIF(CJ254:CM254,"AB")</f>
        <v>0</v>
      </c>
      <c r="CP254" s="15">
        <f t="shared" si="221"/>
        <v>0</v>
      </c>
      <c r="CU254" s="15">
        <f t="shared" si="206"/>
        <v>0</v>
      </c>
      <c r="CV254" s="15">
        <f t="shared" si="228"/>
        <v>0</v>
      </c>
      <c r="CW254" s="15">
        <f t="shared" si="229"/>
        <v>0</v>
      </c>
      <c r="CX254" s="15">
        <f>CG254+CN254+CU254</f>
        <v>0</v>
      </c>
      <c r="CY254" s="15" t="e">
        <f>SUM(CE254,#REF!,CS254)</f>
        <v>#REF!</v>
      </c>
      <c r="CZ254" s="1" t="e">
        <f t="shared" si="210"/>
        <v>#REF!</v>
      </c>
      <c r="DA254" s="82"/>
    </row>
    <row r="255" spans="1:105">
      <c r="A255" s="68"/>
      <c r="B255" s="14"/>
      <c r="H255" s="15">
        <f t="shared" si="224"/>
        <v>0</v>
      </c>
      <c r="I255" s="18">
        <f t="shared" si="225"/>
        <v>0</v>
      </c>
      <c r="J255" s="15">
        <f t="shared" si="226"/>
        <v>0</v>
      </c>
      <c r="O255" s="15">
        <f t="shared" si="200"/>
        <v>0</v>
      </c>
      <c r="P255" s="18">
        <f t="shared" si="230"/>
        <v>0</v>
      </c>
      <c r="Q255" s="15">
        <f t="shared" si="231"/>
        <v>0</v>
      </c>
      <c r="U255" s="71"/>
      <c r="V255" s="15">
        <f t="shared" si="232"/>
        <v>0</v>
      </c>
      <c r="W255" s="15">
        <f t="shared" si="233"/>
        <v>0</v>
      </c>
      <c r="X255" s="15">
        <f t="shared" si="223"/>
        <v>0</v>
      </c>
      <c r="Y255" s="15">
        <f>J255+Q255+X255</f>
        <v>0</v>
      </c>
      <c r="Z255" s="15">
        <f>SUM(H255,O255,V255)</f>
        <v>0</v>
      </c>
      <c r="AA255" s="78" t="e">
        <f t="shared" si="207"/>
        <v>#DIV/0!</v>
      </c>
      <c r="AB255" s="82"/>
      <c r="AG255" s="15">
        <f t="shared" si="201"/>
        <v>0</v>
      </c>
      <c r="AH255" s="15">
        <f t="shared" si="211"/>
        <v>0</v>
      </c>
      <c r="AI255" s="15">
        <f t="shared" si="212"/>
        <v>0</v>
      </c>
      <c r="AO255" s="15">
        <f t="shared" si="202"/>
        <v>0</v>
      </c>
      <c r="AP255" s="15">
        <f t="shared" si="213"/>
        <v>0</v>
      </c>
      <c r="AQ255" s="15">
        <f t="shared" si="214"/>
        <v>0</v>
      </c>
      <c r="AV255" s="15">
        <f>COUNTIF(AR255:AU255,"PR")</f>
        <v>0</v>
      </c>
      <c r="AW255" s="15">
        <f t="shared" si="234"/>
        <v>0</v>
      </c>
      <c r="AX255" s="15">
        <f t="shared" si="222"/>
        <v>0</v>
      </c>
      <c r="AY255" s="15">
        <f>AI255+AQ255+AX255</f>
        <v>0</v>
      </c>
      <c r="AZ255" s="15">
        <f>SUM(AG255,AO255,AV255)</f>
        <v>0</v>
      </c>
      <c r="BA255" s="78" t="e">
        <f t="shared" si="208"/>
        <v>#DIV/0!</v>
      </c>
      <c r="BD255" s="1"/>
      <c r="BF255" s="15">
        <f t="shared" si="203"/>
        <v>0</v>
      </c>
      <c r="BG255" s="15">
        <f t="shared" si="215"/>
        <v>0</v>
      </c>
      <c r="BH255" s="15">
        <f t="shared" si="216"/>
        <v>0</v>
      </c>
      <c r="BN255" s="15">
        <f t="shared" si="204"/>
        <v>0</v>
      </c>
      <c r="BO255" s="15">
        <f t="shared" si="235"/>
        <v>0</v>
      </c>
      <c r="BP255" s="15">
        <f t="shared" si="217"/>
        <v>0</v>
      </c>
      <c r="BU255" s="15">
        <f t="shared" si="205"/>
        <v>0</v>
      </c>
      <c r="BV255" s="15">
        <f t="shared" si="218"/>
        <v>0</v>
      </c>
      <c r="BW255" s="15">
        <f t="shared" si="219"/>
        <v>0</v>
      </c>
      <c r="BX255" s="15">
        <f t="shared" si="236"/>
        <v>0</v>
      </c>
      <c r="BY255" s="15">
        <f t="shared" si="237"/>
        <v>0</v>
      </c>
      <c r="BZ255" s="1" t="e">
        <f t="shared" si="227"/>
        <v>#DIV/0!</v>
      </c>
      <c r="CA255" s="82"/>
      <c r="CG255" s="15">
        <f>COUNTIF(CB255:CF255,"PR")</f>
        <v>0</v>
      </c>
      <c r="CH255" s="15">
        <f>COUNTIF(CB255:CF255,"AB")</f>
        <v>0</v>
      </c>
      <c r="CI255" s="15">
        <f t="shared" si="220"/>
        <v>0</v>
      </c>
      <c r="CN255" s="15">
        <f>COUNTIF(CJ255:CM255,"PR")</f>
        <v>0</v>
      </c>
      <c r="CO255" s="15">
        <f>COUNTIF(CJ255:CM255,"AB")</f>
        <v>0</v>
      </c>
      <c r="CP255" s="15">
        <f t="shared" si="221"/>
        <v>0</v>
      </c>
      <c r="CU255" s="15">
        <f t="shared" si="206"/>
        <v>0</v>
      </c>
      <c r="CV255" s="15">
        <f t="shared" si="228"/>
        <v>0</v>
      </c>
      <c r="CW255" s="15">
        <f t="shared" si="229"/>
        <v>0</v>
      </c>
      <c r="CX255" s="15">
        <f>CG255+CN255+CU255</f>
        <v>0</v>
      </c>
      <c r="CY255" s="15" t="e">
        <f>SUM(CE255,#REF!,CS255)</f>
        <v>#REF!</v>
      </c>
      <c r="CZ255" s="1" t="e">
        <f t="shared" si="210"/>
        <v>#REF!</v>
      </c>
      <c r="DA255" s="82"/>
    </row>
    <row r="256" spans="1:105">
      <c r="A256" s="68"/>
      <c r="B256" s="14"/>
      <c r="H256" s="15">
        <f t="shared" si="224"/>
        <v>0</v>
      </c>
      <c r="I256" s="18">
        <f t="shared" si="225"/>
        <v>0</v>
      </c>
      <c r="J256" s="15">
        <f t="shared" si="226"/>
        <v>0</v>
      </c>
      <c r="O256" s="15">
        <f t="shared" si="200"/>
        <v>0</v>
      </c>
      <c r="P256" s="18">
        <f t="shared" si="230"/>
        <v>0</v>
      </c>
      <c r="Q256" s="15">
        <f t="shared" si="231"/>
        <v>0</v>
      </c>
      <c r="U256" s="71"/>
      <c r="V256" s="15">
        <f t="shared" si="232"/>
        <v>0</v>
      </c>
      <c r="W256" s="15">
        <f t="shared" si="233"/>
        <v>0</v>
      </c>
      <c r="X256" s="15">
        <f t="shared" si="223"/>
        <v>0</v>
      </c>
      <c r="Y256" s="15">
        <f>J256+Q256+X256</f>
        <v>0</v>
      </c>
      <c r="Z256" s="15">
        <f>SUM(H256,O256,V256)</f>
        <v>0</v>
      </c>
      <c r="AA256" s="78" t="e">
        <f t="shared" si="207"/>
        <v>#DIV/0!</v>
      </c>
      <c r="AB256" s="82"/>
      <c r="AG256" s="15">
        <f t="shared" si="201"/>
        <v>0</v>
      </c>
      <c r="AH256" s="15">
        <f t="shared" si="211"/>
        <v>0</v>
      </c>
      <c r="AI256" s="15">
        <f t="shared" si="212"/>
        <v>0</v>
      </c>
      <c r="AO256" s="15">
        <f t="shared" si="202"/>
        <v>0</v>
      </c>
      <c r="AP256" s="15">
        <f t="shared" si="213"/>
        <v>0</v>
      </c>
      <c r="AQ256" s="15">
        <f t="shared" si="214"/>
        <v>0</v>
      </c>
      <c r="AV256" s="15">
        <f>COUNTIF(AR256:AU256,"PR")</f>
        <v>0</v>
      </c>
      <c r="AW256" s="15">
        <f t="shared" si="234"/>
        <v>0</v>
      </c>
      <c r="AX256" s="15">
        <f t="shared" si="222"/>
        <v>0</v>
      </c>
      <c r="AY256" s="15">
        <f>AI256+AQ256+AX256</f>
        <v>0</v>
      </c>
      <c r="AZ256" s="15">
        <f>SUM(AG256,AO256,AV256)</f>
        <v>0</v>
      </c>
      <c r="BA256" s="78" t="e">
        <f t="shared" si="208"/>
        <v>#DIV/0!</v>
      </c>
      <c r="BD256" s="1"/>
      <c r="BF256" s="15">
        <f t="shared" si="203"/>
        <v>0</v>
      </c>
      <c r="BG256" s="15">
        <f t="shared" si="215"/>
        <v>0</v>
      </c>
      <c r="BH256" s="15">
        <f t="shared" si="216"/>
        <v>0</v>
      </c>
      <c r="BN256" s="15">
        <f t="shared" si="204"/>
        <v>0</v>
      </c>
      <c r="BO256" s="15">
        <f t="shared" si="235"/>
        <v>0</v>
      </c>
      <c r="BP256" s="15">
        <f t="shared" si="217"/>
        <v>0</v>
      </c>
      <c r="BU256" s="15">
        <f t="shared" si="205"/>
        <v>0</v>
      </c>
      <c r="BV256" s="15">
        <f t="shared" si="218"/>
        <v>0</v>
      </c>
      <c r="BW256" s="15">
        <f t="shared" si="219"/>
        <v>0</v>
      </c>
      <c r="BX256" s="15">
        <f t="shared" si="236"/>
        <v>0</v>
      </c>
      <c r="BY256" s="15">
        <f t="shared" si="237"/>
        <v>0</v>
      </c>
      <c r="BZ256" s="1" t="e">
        <f t="shared" si="227"/>
        <v>#DIV/0!</v>
      </c>
      <c r="CA256" s="82"/>
      <c r="CG256" s="15">
        <f>COUNTIF(CB256:CF256,"PR")</f>
        <v>0</v>
      </c>
      <c r="CH256" s="15">
        <f>COUNTIF(CB256:CF256,"AB")</f>
        <v>0</v>
      </c>
      <c r="CI256" s="15">
        <f t="shared" si="220"/>
        <v>0</v>
      </c>
      <c r="CN256" s="15">
        <f>COUNTIF(CJ256:CM256,"PR")</f>
        <v>0</v>
      </c>
      <c r="CO256" s="15">
        <f>COUNTIF(CJ256:CM256,"AB")</f>
        <v>0</v>
      </c>
      <c r="CP256" s="15">
        <f t="shared" si="221"/>
        <v>0</v>
      </c>
      <c r="CU256" s="15">
        <f t="shared" si="206"/>
        <v>0</v>
      </c>
      <c r="CV256" s="15">
        <f t="shared" si="228"/>
        <v>0</v>
      </c>
      <c r="CW256" s="15">
        <f t="shared" si="229"/>
        <v>0</v>
      </c>
      <c r="CX256" s="15">
        <f>CG256+CN256+CU256</f>
        <v>0</v>
      </c>
      <c r="CY256" s="15" t="e">
        <f>SUM(CE256,#REF!,CS256)</f>
        <v>#REF!</v>
      </c>
      <c r="CZ256" s="1" t="e">
        <f t="shared" si="210"/>
        <v>#REF!</v>
      </c>
      <c r="DA256" s="82"/>
    </row>
    <row r="257" spans="1:105">
      <c r="A257" s="68"/>
      <c r="B257" s="14"/>
      <c r="H257" s="15">
        <f t="shared" si="224"/>
        <v>0</v>
      </c>
      <c r="I257" s="18">
        <f t="shared" si="225"/>
        <v>0</v>
      </c>
      <c r="J257" s="15">
        <f t="shared" si="226"/>
        <v>0</v>
      </c>
      <c r="O257" s="15">
        <f t="shared" si="200"/>
        <v>0</v>
      </c>
      <c r="P257" s="18">
        <f t="shared" si="230"/>
        <v>0</v>
      </c>
      <c r="Q257" s="15">
        <f t="shared" si="231"/>
        <v>0</v>
      </c>
      <c r="U257" s="71"/>
      <c r="V257" s="15">
        <f t="shared" si="232"/>
        <v>0</v>
      </c>
      <c r="W257" s="15">
        <f t="shared" si="233"/>
        <v>0</v>
      </c>
      <c r="X257" s="15">
        <f t="shared" si="223"/>
        <v>0</v>
      </c>
      <c r="Y257" s="15">
        <f>J257+Q257+X257</f>
        <v>0</v>
      </c>
      <c r="Z257" s="15">
        <f>SUM(H257,O257,V257)</f>
        <v>0</v>
      </c>
      <c r="AA257" s="78" t="e">
        <f t="shared" si="207"/>
        <v>#DIV/0!</v>
      </c>
      <c r="AB257" s="82"/>
      <c r="AG257" s="15">
        <f t="shared" si="201"/>
        <v>0</v>
      </c>
      <c r="AH257" s="15">
        <f t="shared" si="211"/>
        <v>0</v>
      </c>
      <c r="AI257" s="15">
        <f t="shared" si="212"/>
        <v>0</v>
      </c>
      <c r="AO257" s="15">
        <f t="shared" si="202"/>
        <v>0</v>
      </c>
      <c r="AP257" s="15">
        <f t="shared" si="213"/>
        <v>0</v>
      </c>
      <c r="AQ257" s="15">
        <f t="shared" si="214"/>
        <v>0</v>
      </c>
      <c r="AV257" s="15">
        <f>COUNTIF(AR257:AU257,"PR")</f>
        <v>0</v>
      </c>
      <c r="AW257" s="15">
        <f t="shared" si="234"/>
        <v>0</v>
      </c>
      <c r="AX257" s="15">
        <f t="shared" si="222"/>
        <v>0</v>
      </c>
      <c r="AY257" s="15">
        <f>AI257+AQ257+AX257</f>
        <v>0</v>
      </c>
      <c r="AZ257" s="15">
        <f>SUM(AG257,AO257,AV257)</f>
        <v>0</v>
      </c>
      <c r="BA257" s="78" t="e">
        <f t="shared" si="208"/>
        <v>#DIV/0!</v>
      </c>
      <c r="BD257" s="1"/>
      <c r="BF257" s="15">
        <f t="shared" si="203"/>
        <v>0</v>
      </c>
      <c r="BG257" s="15">
        <f t="shared" si="215"/>
        <v>0</v>
      </c>
      <c r="BH257" s="15">
        <f t="shared" si="216"/>
        <v>0</v>
      </c>
      <c r="BN257" s="15">
        <f t="shared" si="204"/>
        <v>0</v>
      </c>
      <c r="BO257" s="15">
        <f t="shared" si="235"/>
        <v>0</v>
      </c>
      <c r="BP257" s="15">
        <f t="shared" si="217"/>
        <v>0</v>
      </c>
      <c r="BU257" s="15">
        <f t="shared" si="205"/>
        <v>0</v>
      </c>
      <c r="BV257" s="15">
        <f t="shared" si="218"/>
        <v>0</v>
      </c>
      <c r="BW257" s="15">
        <f t="shared" si="219"/>
        <v>0</v>
      </c>
      <c r="BX257" s="15">
        <f t="shared" si="236"/>
        <v>0</v>
      </c>
      <c r="BY257" s="15">
        <f t="shared" si="237"/>
        <v>0</v>
      </c>
      <c r="BZ257" s="1" t="e">
        <f t="shared" si="227"/>
        <v>#DIV/0!</v>
      </c>
      <c r="CA257" s="82"/>
      <c r="CG257" s="15">
        <f>COUNTIF(CB257:CF257,"PR")</f>
        <v>0</v>
      </c>
      <c r="CH257" s="15">
        <f>COUNTIF(CB257:CF257,"AB")</f>
        <v>0</v>
      </c>
      <c r="CI257" s="15">
        <f t="shared" si="220"/>
        <v>0</v>
      </c>
      <c r="CN257" s="15">
        <f>COUNTIF(CJ257:CM257,"PR")</f>
        <v>0</v>
      </c>
      <c r="CO257" s="15">
        <f>COUNTIF(CJ257:CM257,"AB")</f>
        <v>0</v>
      </c>
      <c r="CP257" s="15">
        <f t="shared" si="221"/>
        <v>0</v>
      </c>
      <c r="CU257" s="15">
        <f t="shared" si="206"/>
        <v>0</v>
      </c>
      <c r="CV257" s="15">
        <f t="shared" si="228"/>
        <v>0</v>
      </c>
      <c r="CW257" s="15">
        <f t="shared" si="229"/>
        <v>0</v>
      </c>
      <c r="CX257" s="15">
        <f>CG257+CN257+CU257</f>
        <v>0</v>
      </c>
      <c r="CY257" s="15" t="e">
        <f>SUM(CE257,#REF!,CS257)</f>
        <v>#REF!</v>
      </c>
      <c r="CZ257" s="1" t="e">
        <f t="shared" si="210"/>
        <v>#REF!</v>
      </c>
      <c r="DA257" s="82"/>
    </row>
    <row r="258" spans="1:105">
      <c r="A258" s="68"/>
      <c r="B258" s="14"/>
      <c r="H258" s="15">
        <f t="shared" si="224"/>
        <v>0</v>
      </c>
      <c r="I258" s="18">
        <f t="shared" si="225"/>
        <v>0</v>
      </c>
      <c r="J258" s="15">
        <f t="shared" si="226"/>
        <v>0</v>
      </c>
      <c r="O258" s="15">
        <f t="shared" si="200"/>
        <v>0</v>
      </c>
      <c r="P258" s="18">
        <f t="shared" si="230"/>
        <v>0</v>
      </c>
      <c r="Q258" s="15">
        <f t="shared" si="231"/>
        <v>0</v>
      </c>
      <c r="U258" s="71"/>
      <c r="V258" s="15">
        <f t="shared" si="232"/>
        <v>0</v>
      </c>
      <c r="W258" s="15">
        <f t="shared" si="233"/>
        <v>0</v>
      </c>
      <c r="X258" s="15">
        <f t="shared" si="223"/>
        <v>0</v>
      </c>
      <c r="Y258" s="15">
        <f>J258+Q258+X258</f>
        <v>0</v>
      </c>
      <c r="Z258" s="15">
        <f>SUM(H258,O258,V258)</f>
        <v>0</v>
      </c>
      <c r="AA258" s="78" t="e">
        <f t="shared" si="207"/>
        <v>#DIV/0!</v>
      </c>
      <c r="AB258" s="82"/>
      <c r="AG258" s="15">
        <f t="shared" si="201"/>
        <v>0</v>
      </c>
      <c r="AH258" s="15">
        <f t="shared" si="211"/>
        <v>0</v>
      </c>
      <c r="AI258" s="15">
        <f t="shared" si="212"/>
        <v>0</v>
      </c>
      <c r="AO258" s="15">
        <f t="shared" si="202"/>
        <v>0</v>
      </c>
      <c r="AP258" s="15">
        <f t="shared" si="213"/>
        <v>0</v>
      </c>
      <c r="AQ258" s="15">
        <f t="shared" si="214"/>
        <v>0</v>
      </c>
      <c r="AV258" s="15">
        <f>COUNTIF(AR258:AU258,"PR")</f>
        <v>0</v>
      </c>
      <c r="AW258" s="15">
        <f t="shared" si="234"/>
        <v>0</v>
      </c>
      <c r="AX258" s="15">
        <f t="shared" si="222"/>
        <v>0</v>
      </c>
      <c r="AY258" s="15">
        <f>AI258+AQ258+AX258</f>
        <v>0</v>
      </c>
      <c r="AZ258" s="15">
        <f>SUM(AG258,AO258,AV258)</f>
        <v>0</v>
      </c>
      <c r="BA258" s="78" t="e">
        <f t="shared" si="208"/>
        <v>#DIV/0!</v>
      </c>
      <c r="BD258" s="1"/>
      <c r="BF258" s="15">
        <f t="shared" si="203"/>
        <v>0</v>
      </c>
      <c r="BG258" s="15">
        <f t="shared" si="215"/>
        <v>0</v>
      </c>
      <c r="BH258" s="15">
        <f t="shared" si="216"/>
        <v>0</v>
      </c>
      <c r="BN258" s="15">
        <f t="shared" si="204"/>
        <v>0</v>
      </c>
      <c r="BO258" s="15">
        <f t="shared" si="235"/>
        <v>0</v>
      </c>
      <c r="BP258" s="15">
        <f t="shared" si="217"/>
        <v>0</v>
      </c>
      <c r="BU258" s="15">
        <f t="shared" si="205"/>
        <v>0</v>
      </c>
      <c r="BV258" s="15">
        <f t="shared" si="218"/>
        <v>0</v>
      </c>
      <c r="BW258" s="15">
        <f t="shared" si="219"/>
        <v>0</v>
      </c>
      <c r="BX258" s="15">
        <f t="shared" si="236"/>
        <v>0</v>
      </c>
      <c r="BY258" s="15">
        <f t="shared" si="237"/>
        <v>0</v>
      </c>
      <c r="BZ258" s="1" t="e">
        <f t="shared" si="227"/>
        <v>#DIV/0!</v>
      </c>
      <c r="CA258" s="82"/>
      <c r="CG258" s="15">
        <f>COUNTIF(CB258:CF258,"PR")</f>
        <v>0</v>
      </c>
      <c r="CH258" s="15">
        <f>COUNTIF(CB258:CF258,"AB")</f>
        <v>0</v>
      </c>
      <c r="CI258" s="15">
        <f t="shared" si="220"/>
        <v>0</v>
      </c>
      <c r="CN258" s="15">
        <f>COUNTIF(CJ258:CM258,"PR")</f>
        <v>0</v>
      </c>
      <c r="CO258" s="15">
        <f>COUNTIF(CJ258:CM258,"AB")</f>
        <v>0</v>
      </c>
      <c r="CP258" s="15">
        <f t="shared" si="221"/>
        <v>0</v>
      </c>
      <c r="CU258" s="15">
        <f t="shared" si="206"/>
        <v>0</v>
      </c>
      <c r="CV258" s="15">
        <f t="shared" si="228"/>
        <v>0</v>
      </c>
      <c r="CW258" s="15">
        <f t="shared" si="229"/>
        <v>0</v>
      </c>
      <c r="CX258" s="15">
        <f>CG258+CN258+CU258</f>
        <v>0</v>
      </c>
      <c r="CY258" s="15" t="e">
        <f>SUM(CE258,#REF!,CS258)</f>
        <v>#REF!</v>
      </c>
      <c r="CZ258" s="1" t="e">
        <f t="shared" si="210"/>
        <v>#REF!</v>
      </c>
      <c r="DA258" s="82"/>
    </row>
    <row r="259" spans="1:105">
      <c r="A259" s="68"/>
      <c r="B259" s="14"/>
      <c r="H259" s="15">
        <f t="shared" si="224"/>
        <v>0</v>
      </c>
      <c r="I259" s="18">
        <f t="shared" si="225"/>
        <v>0</v>
      </c>
      <c r="J259" s="15">
        <f t="shared" si="226"/>
        <v>0</v>
      </c>
      <c r="O259" s="15">
        <f t="shared" si="200"/>
        <v>0</v>
      </c>
      <c r="P259" s="18">
        <f t="shared" si="230"/>
        <v>0</v>
      </c>
      <c r="Q259" s="15">
        <f t="shared" si="231"/>
        <v>0</v>
      </c>
      <c r="U259" s="71"/>
      <c r="V259" s="15">
        <f t="shared" si="232"/>
        <v>0</v>
      </c>
      <c r="W259" s="15">
        <f t="shared" si="233"/>
        <v>0</v>
      </c>
      <c r="X259" s="15">
        <f t="shared" si="223"/>
        <v>0</v>
      </c>
      <c r="Y259" s="15">
        <f>J259+Q259+X259</f>
        <v>0</v>
      </c>
      <c r="Z259" s="15">
        <f>SUM(H259,O259,V259)</f>
        <v>0</v>
      </c>
      <c r="AA259" s="78" t="e">
        <f t="shared" si="207"/>
        <v>#DIV/0!</v>
      </c>
      <c r="AB259" s="82"/>
      <c r="AG259" s="15">
        <f t="shared" si="201"/>
        <v>0</v>
      </c>
      <c r="AH259" s="15">
        <f t="shared" si="211"/>
        <v>0</v>
      </c>
      <c r="AI259" s="15">
        <f t="shared" si="212"/>
        <v>0</v>
      </c>
      <c r="AO259" s="15">
        <f t="shared" si="202"/>
        <v>0</v>
      </c>
      <c r="AP259" s="15">
        <f t="shared" si="213"/>
        <v>0</v>
      </c>
      <c r="AQ259" s="15">
        <f t="shared" si="214"/>
        <v>0</v>
      </c>
      <c r="AV259" s="15">
        <f>COUNTIF(AR259:AU259,"PR")</f>
        <v>0</v>
      </c>
      <c r="AW259" s="15">
        <f t="shared" si="234"/>
        <v>0</v>
      </c>
      <c r="AX259" s="15">
        <f t="shared" si="222"/>
        <v>0</v>
      </c>
      <c r="AY259" s="15">
        <f>AI259+AQ259+AX259</f>
        <v>0</v>
      </c>
      <c r="AZ259" s="15">
        <f>SUM(AG259,AO259,AV259)</f>
        <v>0</v>
      </c>
      <c r="BA259" s="78" t="e">
        <f t="shared" si="208"/>
        <v>#DIV/0!</v>
      </c>
      <c r="BD259" s="1"/>
      <c r="BF259" s="15">
        <f t="shared" si="203"/>
        <v>0</v>
      </c>
      <c r="BG259" s="15">
        <f t="shared" si="215"/>
        <v>0</v>
      </c>
      <c r="BH259" s="15">
        <f t="shared" si="216"/>
        <v>0</v>
      </c>
      <c r="BN259" s="15">
        <f t="shared" si="204"/>
        <v>0</v>
      </c>
      <c r="BO259" s="15">
        <f t="shared" si="235"/>
        <v>0</v>
      </c>
      <c r="BP259" s="15">
        <f t="shared" si="217"/>
        <v>0</v>
      </c>
      <c r="BU259" s="15">
        <f t="shared" si="205"/>
        <v>0</v>
      </c>
      <c r="BV259" s="15">
        <f t="shared" si="218"/>
        <v>0</v>
      </c>
      <c r="BW259" s="15">
        <f t="shared" si="219"/>
        <v>0</v>
      </c>
      <c r="BX259" s="15">
        <f t="shared" si="236"/>
        <v>0</v>
      </c>
      <c r="BY259" s="15">
        <f t="shared" si="237"/>
        <v>0</v>
      </c>
      <c r="BZ259" s="1" t="e">
        <f t="shared" si="227"/>
        <v>#DIV/0!</v>
      </c>
      <c r="CA259" s="82"/>
      <c r="CG259" s="15">
        <f>COUNTIF(CB259:CF259,"PR")</f>
        <v>0</v>
      </c>
      <c r="CH259" s="15">
        <f>COUNTIF(CB259:CF259,"AB")</f>
        <v>0</v>
      </c>
      <c r="CI259" s="15">
        <f t="shared" si="220"/>
        <v>0</v>
      </c>
      <c r="CN259" s="15">
        <f>COUNTIF(CJ259:CM259,"PR")</f>
        <v>0</v>
      </c>
      <c r="CO259" s="15">
        <f>COUNTIF(CJ259:CM259,"AB")</f>
        <v>0</v>
      </c>
      <c r="CP259" s="15">
        <f t="shared" si="221"/>
        <v>0</v>
      </c>
      <c r="CU259" s="15">
        <f t="shared" si="206"/>
        <v>0</v>
      </c>
      <c r="CV259" s="15">
        <f t="shared" si="228"/>
        <v>0</v>
      </c>
      <c r="CW259" s="15">
        <f t="shared" si="229"/>
        <v>0</v>
      </c>
      <c r="CX259" s="15">
        <f>CG259+CN259+CU259</f>
        <v>0</v>
      </c>
      <c r="CY259" s="15" t="e">
        <f>SUM(CE259,#REF!,CS259)</f>
        <v>#REF!</v>
      </c>
      <c r="CZ259" s="1" t="e">
        <f t="shared" si="210"/>
        <v>#REF!</v>
      </c>
      <c r="DA259" s="82"/>
    </row>
    <row r="260" spans="1:105">
      <c r="A260" s="68"/>
      <c r="B260" s="14"/>
      <c r="H260" s="15">
        <f t="shared" si="224"/>
        <v>0</v>
      </c>
      <c r="I260" s="18">
        <f t="shared" si="225"/>
        <v>0</v>
      </c>
      <c r="J260" s="15">
        <f t="shared" si="226"/>
        <v>0</v>
      </c>
      <c r="O260" s="15">
        <f t="shared" si="200"/>
        <v>0</v>
      </c>
      <c r="P260" s="18">
        <f t="shared" si="230"/>
        <v>0</v>
      </c>
      <c r="Q260" s="15">
        <f t="shared" si="231"/>
        <v>0</v>
      </c>
      <c r="U260" s="71"/>
      <c r="V260" s="15">
        <f t="shared" si="232"/>
        <v>0</v>
      </c>
      <c r="W260" s="15">
        <f t="shared" si="233"/>
        <v>0</v>
      </c>
      <c r="X260" s="15">
        <f t="shared" si="223"/>
        <v>0</v>
      </c>
      <c r="Y260" s="15">
        <f>J260+Q260+X260</f>
        <v>0</v>
      </c>
      <c r="Z260" s="15">
        <f>SUM(H260,O260,V260)</f>
        <v>0</v>
      </c>
      <c r="AA260" s="78" t="e">
        <f t="shared" si="207"/>
        <v>#DIV/0!</v>
      </c>
      <c r="AB260" s="82"/>
      <c r="AG260" s="15">
        <f t="shared" si="201"/>
        <v>0</v>
      </c>
      <c r="AH260" s="15">
        <f t="shared" si="211"/>
        <v>0</v>
      </c>
      <c r="AI260" s="15">
        <f t="shared" si="212"/>
        <v>0</v>
      </c>
      <c r="AO260" s="15">
        <f t="shared" si="202"/>
        <v>0</v>
      </c>
      <c r="AP260" s="15">
        <f t="shared" si="213"/>
        <v>0</v>
      </c>
      <c r="AQ260" s="15">
        <f t="shared" si="214"/>
        <v>0</v>
      </c>
      <c r="AV260" s="15">
        <f>COUNTIF(AR260:AU260,"PR")</f>
        <v>0</v>
      </c>
      <c r="AW260" s="15">
        <f t="shared" si="234"/>
        <v>0</v>
      </c>
      <c r="AX260" s="15">
        <f t="shared" si="222"/>
        <v>0</v>
      </c>
      <c r="AY260" s="15">
        <f>AI260+AQ260+AX260</f>
        <v>0</v>
      </c>
      <c r="AZ260" s="15">
        <f>SUM(AG260,AO260,AV260)</f>
        <v>0</v>
      </c>
      <c r="BA260" s="78" t="e">
        <f t="shared" si="208"/>
        <v>#DIV/0!</v>
      </c>
      <c r="BD260" s="1"/>
      <c r="BF260" s="15">
        <f t="shared" si="203"/>
        <v>0</v>
      </c>
      <c r="BG260" s="15">
        <f t="shared" si="215"/>
        <v>0</v>
      </c>
      <c r="BH260" s="15">
        <f t="shared" si="216"/>
        <v>0</v>
      </c>
      <c r="BN260" s="15">
        <f t="shared" si="204"/>
        <v>0</v>
      </c>
      <c r="BO260" s="15">
        <f t="shared" si="235"/>
        <v>0</v>
      </c>
      <c r="BP260" s="15">
        <f t="shared" si="217"/>
        <v>0</v>
      </c>
      <c r="BU260" s="15">
        <f t="shared" si="205"/>
        <v>0</v>
      </c>
      <c r="BV260" s="15">
        <f t="shared" si="218"/>
        <v>0</v>
      </c>
      <c r="BW260" s="15">
        <f t="shared" si="219"/>
        <v>0</v>
      </c>
      <c r="BX260" s="15">
        <f t="shared" si="236"/>
        <v>0</v>
      </c>
      <c r="BY260" s="15">
        <f t="shared" si="237"/>
        <v>0</v>
      </c>
      <c r="BZ260" s="1" t="e">
        <f t="shared" si="227"/>
        <v>#DIV/0!</v>
      </c>
      <c r="CA260" s="82"/>
      <c r="CG260" s="15">
        <f>COUNTIF(CB260:CF260,"PR")</f>
        <v>0</v>
      </c>
      <c r="CH260" s="15">
        <f>COUNTIF(CB260:CF260,"AB")</f>
        <v>0</v>
      </c>
      <c r="CI260" s="15">
        <f t="shared" si="220"/>
        <v>0</v>
      </c>
      <c r="CN260" s="15">
        <f>COUNTIF(CJ260:CM260,"PR")</f>
        <v>0</v>
      </c>
      <c r="CO260" s="15">
        <f>COUNTIF(CJ260:CM260,"AB")</f>
        <v>0</v>
      </c>
      <c r="CP260" s="15">
        <f t="shared" si="221"/>
        <v>0</v>
      </c>
      <c r="CU260" s="15">
        <f t="shared" si="206"/>
        <v>0</v>
      </c>
      <c r="CV260" s="15">
        <f t="shared" si="228"/>
        <v>0</v>
      </c>
      <c r="CW260" s="15">
        <f t="shared" si="229"/>
        <v>0</v>
      </c>
      <c r="CX260" s="15">
        <f>CG260+CN260+CU260</f>
        <v>0</v>
      </c>
      <c r="CY260" s="15" t="e">
        <f>SUM(CE260,#REF!,CS260)</f>
        <v>#REF!</v>
      </c>
      <c r="CZ260" s="1" t="e">
        <f t="shared" si="210"/>
        <v>#REF!</v>
      </c>
      <c r="DA260" s="82"/>
    </row>
    <row r="261" spans="1:105">
      <c r="A261" s="68"/>
      <c r="B261" s="14"/>
      <c r="H261" s="15">
        <f t="shared" si="224"/>
        <v>0</v>
      </c>
      <c r="I261" s="18">
        <f t="shared" si="225"/>
        <v>0</v>
      </c>
      <c r="J261" s="15">
        <f t="shared" si="226"/>
        <v>0</v>
      </c>
      <c r="O261" s="15">
        <f t="shared" si="200"/>
        <v>0</v>
      </c>
      <c r="P261" s="18">
        <f t="shared" si="230"/>
        <v>0</v>
      </c>
      <c r="Q261" s="15">
        <f t="shared" si="231"/>
        <v>0</v>
      </c>
      <c r="U261" s="71"/>
      <c r="V261" s="15">
        <f t="shared" si="232"/>
        <v>0</v>
      </c>
      <c r="W261" s="15">
        <f t="shared" si="233"/>
        <v>0</v>
      </c>
      <c r="X261" s="15">
        <f t="shared" si="223"/>
        <v>0</v>
      </c>
      <c r="Y261" s="15">
        <f>J261+Q261+X261</f>
        <v>0</v>
      </c>
      <c r="Z261" s="15">
        <f>SUM(H261,O261,V261)</f>
        <v>0</v>
      </c>
      <c r="AA261" s="78" t="e">
        <f t="shared" si="207"/>
        <v>#DIV/0!</v>
      </c>
      <c r="AB261" s="82"/>
      <c r="AG261" s="15">
        <f t="shared" si="201"/>
        <v>0</v>
      </c>
      <c r="AH261" s="15">
        <f t="shared" si="211"/>
        <v>0</v>
      </c>
      <c r="AI261" s="15">
        <f t="shared" si="212"/>
        <v>0</v>
      </c>
      <c r="AO261" s="15">
        <f t="shared" si="202"/>
        <v>0</v>
      </c>
      <c r="AP261" s="15">
        <f t="shared" si="213"/>
        <v>0</v>
      </c>
      <c r="AQ261" s="15">
        <f t="shared" si="214"/>
        <v>0</v>
      </c>
      <c r="AV261" s="15">
        <f>COUNTIF(AR261:AU261,"PR")</f>
        <v>0</v>
      </c>
      <c r="AW261" s="15">
        <f t="shared" si="234"/>
        <v>0</v>
      </c>
      <c r="AX261" s="15">
        <f t="shared" si="222"/>
        <v>0</v>
      </c>
      <c r="AY261" s="15">
        <f>AI261+AQ261+AX261</f>
        <v>0</v>
      </c>
      <c r="AZ261" s="15">
        <f>SUM(AG261,AO261,AV261)</f>
        <v>0</v>
      </c>
      <c r="BA261" s="78" t="e">
        <f t="shared" si="208"/>
        <v>#DIV/0!</v>
      </c>
      <c r="BD261" s="1"/>
      <c r="BF261" s="15">
        <f t="shared" si="203"/>
        <v>0</v>
      </c>
      <c r="BG261" s="15">
        <f t="shared" si="215"/>
        <v>0</v>
      </c>
      <c r="BH261" s="15">
        <f t="shared" si="216"/>
        <v>0</v>
      </c>
      <c r="BN261" s="15">
        <f t="shared" si="204"/>
        <v>0</v>
      </c>
      <c r="BO261" s="15">
        <f t="shared" si="235"/>
        <v>0</v>
      </c>
      <c r="BP261" s="15">
        <f t="shared" si="217"/>
        <v>0</v>
      </c>
      <c r="BU261" s="15">
        <f t="shared" si="205"/>
        <v>0</v>
      </c>
      <c r="BV261" s="15">
        <f t="shared" si="218"/>
        <v>0</v>
      </c>
      <c r="BW261" s="15">
        <f t="shared" si="219"/>
        <v>0</v>
      </c>
      <c r="BX261" s="15">
        <f t="shared" si="236"/>
        <v>0</v>
      </c>
      <c r="BY261" s="15">
        <f t="shared" si="237"/>
        <v>0</v>
      </c>
      <c r="BZ261" s="1" t="e">
        <f t="shared" si="227"/>
        <v>#DIV/0!</v>
      </c>
      <c r="CA261" s="82"/>
      <c r="CG261" s="15">
        <f>COUNTIF(CB261:CF261,"PR")</f>
        <v>0</v>
      </c>
      <c r="CH261" s="15">
        <f>COUNTIF(CB261:CF261,"AB")</f>
        <v>0</v>
      </c>
      <c r="CI261" s="15">
        <f t="shared" si="220"/>
        <v>0</v>
      </c>
      <c r="CN261" s="15">
        <f>COUNTIF(CJ261:CM261,"PR")</f>
        <v>0</v>
      </c>
      <c r="CO261" s="15">
        <f>COUNTIF(CJ261:CM261,"AB")</f>
        <v>0</v>
      </c>
      <c r="CP261" s="15">
        <f t="shared" si="221"/>
        <v>0</v>
      </c>
      <c r="CU261" s="15">
        <f t="shared" si="206"/>
        <v>0</v>
      </c>
      <c r="CV261" s="15">
        <f t="shared" si="228"/>
        <v>0</v>
      </c>
      <c r="CW261" s="15">
        <f t="shared" si="229"/>
        <v>0</v>
      </c>
      <c r="CX261" s="15">
        <f>CG261+CN261+CU261</f>
        <v>0</v>
      </c>
      <c r="CY261" s="15" t="e">
        <f>SUM(CE261,#REF!,CS261)</f>
        <v>#REF!</v>
      </c>
      <c r="CZ261" s="1" t="e">
        <f t="shared" si="210"/>
        <v>#REF!</v>
      </c>
      <c r="DA261" s="82"/>
    </row>
    <row r="262" spans="1:105">
      <c r="A262" s="68"/>
      <c r="B262" s="14"/>
      <c r="H262" s="15">
        <f t="shared" si="224"/>
        <v>0</v>
      </c>
      <c r="I262" s="18">
        <f t="shared" si="225"/>
        <v>0</v>
      </c>
      <c r="J262" s="15">
        <f t="shared" si="226"/>
        <v>0</v>
      </c>
      <c r="O262" s="15">
        <f t="shared" si="200"/>
        <v>0</v>
      </c>
      <c r="P262" s="18">
        <f t="shared" si="230"/>
        <v>0</v>
      </c>
      <c r="Q262" s="15">
        <f t="shared" si="231"/>
        <v>0</v>
      </c>
      <c r="U262" s="71"/>
      <c r="V262" s="15">
        <f t="shared" si="232"/>
        <v>0</v>
      </c>
      <c r="W262" s="15">
        <f t="shared" si="233"/>
        <v>0</v>
      </c>
      <c r="X262" s="15">
        <f t="shared" si="223"/>
        <v>0</v>
      </c>
      <c r="Y262" s="15">
        <f>J262+Q262+X262</f>
        <v>0</v>
      </c>
      <c r="Z262" s="15">
        <f>SUM(H262,O262,V262)</f>
        <v>0</v>
      </c>
      <c r="AA262" s="78" t="e">
        <f t="shared" si="207"/>
        <v>#DIV/0!</v>
      </c>
      <c r="AB262" s="82"/>
      <c r="AG262" s="15">
        <f t="shared" si="201"/>
        <v>0</v>
      </c>
      <c r="AH262" s="15">
        <f t="shared" si="211"/>
        <v>0</v>
      </c>
      <c r="AI262" s="15">
        <f t="shared" si="212"/>
        <v>0</v>
      </c>
      <c r="AO262" s="15">
        <f t="shared" si="202"/>
        <v>0</v>
      </c>
      <c r="AP262" s="15">
        <f t="shared" si="213"/>
        <v>0</v>
      </c>
      <c r="AQ262" s="15">
        <f t="shared" si="214"/>
        <v>0</v>
      </c>
      <c r="AV262" s="15">
        <f>COUNTIF(AR262:AU262,"PR")</f>
        <v>0</v>
      </c>
      <c r="AW262" s="15">
        <f t="shared" si="234"/>
        <v>0</v>
      </c>
      <c r="AX262" s="15">
        <f t="shared" si="222"/>
        <v>0</v>
      </c>
      <c r="AY262" s="15">
        <f>AI262+AQ262+AX262</f>
        <v>0</v>
      </c>
      <c r="AZ262" s="15">
        <f>SUM(AG262,AO262,AV262)</f>
        <v>0</v>
      </c>
      <c r="BA262" s="78" t="e">
        <f t="shared" si="208"/>
        <v>#DIV/0!</v>
      </c>
      <c r="BD262" s="1"/>
      <c r="BF262" s="15">
        <f t="shared" si="203"/>
        <v>0</v>
      </c>
      <c r="BG262" s="15">
        <f t="shared" si="215"/>
        <v>0</v>
      </c>
      <c r="BH262" s="15">
        <f t="shared" si="216"/>
        <v>0</v>
      </c>
      <c r="BN262" s="15">
        <f t="shared" si="204"/>
        <v>0</v>
      </c>
      <c r="BO262" s="15">
        <f t="shared" si="235"/>
        <v>0</v>
      </c>
      <c r="BP262" s="15">
        <f t="shared" si="217"/>
        <v>0</v>
      </c>
      <c r="BU262" s="15">
        <f t="shared" si="205"/>
        <v>0</v>
      </c>
      <c r="BV262" s="15">
        <f t="shared" si="218"/>
        <v>0</v>
      </c>
      <c r="BW262" s="15">
        <f t="shared" si="219"/>
        <v>0</v>
      </c>
      <c r="BX262" s="15">
        <f t="shared" si="236"/>
        <v>0</v>
      </c>
      <c r="BY262" s="15">
        <f t="shared" si="237"/>
        <v>0</v>
      </c>
      <c r="BZ262" s="1" t="e">
        <f t="shared" si="227"/>
        <v>#DIV/0!</v>
      </c>
      <c r="CA262" s="82"/>
      <c r="CG262" s="15">
        <f>COUNTIF(CB262:CF262,"PR")</f>
        <v>0</v>
      </c>
      <c r="CH262" s="15">
        <f>COUNTIF(CB262:CF262,"AB")</f>
        <v>0</v>
      </c>
      <c r="CI262" s="15">
        <f t="shared" si="220"/>
        <v>0</v>
      </c>
      <c r="CN262" s="15">
        <f>COUNTIF(CJ262:CM262,"PR")</f>
        <v>0</v>
      </c>
      <c r="CO262" s="15">
        <f>COUNTIF(CJ262:CM262,"AB")</f>
        <v>0</v>
      </c>
      <c r="CP262" s="15">
        <f t="shared" si="221"/>
        <v>0</v>
      </c>
      <c r="CU262" s="15">
        <f t="shared" si="206"/>
        <v>0</v>
      </c>
      <c r="CV262" s="15">
        <f t="shared" si="228"/>
        <v>0</v>
      </c>
      <c r="CW262" s="15">
        <f t="shared" si="229"/>
        <v>0</v>
      </c>
      <c r="CX262" s="15">
        <f>CG262+CN262+CU262</f>
        <v>0</v>
      </c>
      <c r="CY262" s="15" t="e">
        <f>SUM(CE262,#REF!,CS262)</f>
        <v>#REF!</v>
      </c>
      <c r="CZ262" s="1" t="e">
        <f t="shared" si="210"/>
        <v>#REF!</v>
      </c>
      <c r="DA262" s="82"/>
    </row>
    <row r="263" spans="1:105">
      <c r="A263" s="68"/>
      <c r="B263" s="14"/>
      <c r="H263" s="15">
        <f t="shared" si="224"/>
        <v>0</v>
      </c>
      <c r="I263" s="18">
        <f t="shared" si="225"/>
        <v>0</v>
      </c>
      <c r="J263" s="15">
        <f t="shared" si="226"/>
        <v>0</v>
      </c>
      <c r="O263" s="15">
        <f t="shared" si="200"/>
        <v>0</v>
      </c>
      <c r="P263" s="18">
        <f t="shared" si="230"/>
        <v>0</v>
      </c>
      <c r="Q263" s="15">
        <f t="shared" si="231"/>
        <v>0</v>
      </c>
      <c r="U263" s="71"/>
      <c r="V263" s="15">
        <f t="shared" si="232"/>
        <v>0</v>
      </c>
      <c r="W263" s="15">
        <f t="shared" si="233"/>
        <v>0</v>
      </c>
      <c r="X263" s="15">
        <f t="shared" si="223"/>
        <v>0</v>
      </c>
      <c r="Y263" s="15">
        <f>J263+Q263+X263</f>
        <v>0</v>
      </c>
      <c r="Z263" s="15">
        <f>SUM(H263,O263,V263)</f>
        <v>0</v>
      </c>
      <c r="AA263" s="78" t="e">
        <f t="shared" si="207"/>
        <v>#DIV/0!</v>
      </c>
      <c r="AB263" s="82"/>
      <c r="AG263" s="15">
        <f t="shared" si="201"/>
        <v>0</v>
      </c>
      <c r="AH263" s="15">
        <f t="shared" si="211"/>
        <v>0</v>
      </c>
      <c r="AI263" s="15">
        <f t="shared" si="212"/>
        <v>0</v>
      </c>
      <c r="AO263" s="15">
        <f t="shared" si="202"/>
        <v>0</v>
      </c>
      <c r="AP263" s="15">
        <f t="shared" si="213"/>
        <v>0</v>
      </c>
      <c r="AQ263" s="15">
        <f t="shared" si="214"/>
        <v>0</v>
      </c>
      <c r="AV263" s="15">
        <f>COUNTIF(AR263:AU263,"PR")</f>
        <v>0</v>
      </c>
      <c r="AW263" s="15">
        <f t="shared" si="234"/>
        <v>0</v>
      </c>
      <c r="AX263" s="15">
        <f t="shared" si="222"/>
        <v>0</v>
      </c>
      <c r="AY263" s="15">
        <f>AI263+AQ263+AX263</f>
        <v>0</v>
      </c>
      <c r="AZ263" s="15">
        <f>SUM(AG263,AO263,AV263)</f>
        <v>0</v>
      </c>
      <c r="BA263" s="78" t="e">
        <f t="shared" si="208"/>
        <v>#DIV/0!</v>
      </c>
      <c r="BD263" s="1"/>
      <c r="BF263" s="15">
        <f t="shared" si="203"/>
        <v>0</v>
      </c>
      <c r="BG263" s="15">
        <f t="shared" si="215"/>
        <v>0</v>
      </c>
      <c r="BH263" s="15">
        <f t="shared" si="216"/>
        <v>0</v>
      </c>
      <c r="BN263" s="15">
        <f t="shared" si="204"/>
        <v>0</v>
      </c>
      <c r="BO263" s="15">
        <f t="shared" si="235"/>
        <v>0</v>
      </c>
      <c r="BP263" s="15">
        <f t="shared" si="217"/>
        <v>0</v>
      </c>
      <c r="BU263" s="15">
        <f t="shared" si="205"/>
        <v>0</v>
      </c>
      <c r="BV263" s="15">
        <f t="shared" si="218"/>
        <v>0</v>
      </c>
      <c r="BW263" s="15">
        <f t="shared" si="219"/>
        <v>0</v>
      </c>
      <c r="BX263" s="15">
        <f t="shared" si="236"/>
        <v>0</v>
      </c>
      <c r="BY263" s="15">
        <f t="shared" si="237"/>
        <v>0</v>
      </c>
      <c r="BZ263" s="1" t="e">
        <f t="shared" si="227"/>
        <v>#DIV/0!</v>
      </c>
      <c r="CA263" s="82"/>
      <c r="CG263" s="15">
        <f>COUNTIF(CB263:CF263,"PR")</f>
        <v>0</v>
      </c>
      <c r="CH263" s="15">
        <f>COUNTIF(CB263:CF263,"AB")</f>
        <v>0</v>
      </c>
      <c r="CI263" s="15">
        <f t="shared" si="220"/>
        <v>0</v>
      </c>
      <c r="CN263" s="15">
        <f>COUNTIF(CJ263:CM263,"PR")</f>
        <v>0</v>
      </c>
      <c r="CO263" s="15">
        <f>COUNTIF(CJ263:CM263,"AB")</f>
        <v>0</v>
      </c>
      <c r="CP263" s="15">
        <f t="shared" si="221"/>
        <v>0</v>
      </c>
      <c r="CU263" s="15">
        <f t="shared" si="206"/>
        <v>0</v>
      </c>
      <c r="CV263" s="15">
        <f t="shared" si="228"/>
        <v>0</v>
      </c>
      <c r="CW263" s="15">
        <f t="shared" si="229"/>
        <v>0</v>
      </c>
      <c r="CX263" s="15">
        <f>CG263+CN263+CU263</f>
        <v>0</v>
      </c>
      <c r="CY263" s="15" t="e">
        <f>SUM(CE263,#REF!,CS263)</f>
        <v>#REF!</v>
      </c>
      <c r="CZ263" s="1" t="e">
        <f t="shared" si="210"/>
        <v>#REF!</v>
      </c>
      <c r="DA263" s="82"/>
    </row>
    <row r="264" spans="1:105">
      <c r="A264" s="68"/>
      <c r="B264" s="14"/>
      <c r="H264" s="15">
        <f t="shared" si="224"/>
        <v>0</v>
      </c>
      <c r="I264" s="18">
        <f t="shared" si="225"/>
        <v>0</v>
      </c>
      <c r="J264" s="15">
        <f t="shared" si="226"/>
        <v>0</v>
      </c>
      <c r="O264" s="15">
        <f t="shared" si="200"/>
        <v>0</v>
      </c>
      <c r="P264" s="18">
        <f t="shared" si="230"/>
        <v>0</v>
      </c>
      <c r="Q264" s="15">
        <f t="shared" si="231"/>
        <v>0</v>
      </c>
      <c r="U264" s="71"/>
      <c r="V264" s="15">
        <f t="shared" si="232"/>
        <v>0</v>
      </c>
      <c r="W264" s="15">
        <f t="shared" si="233"/>
        <v>0</v>
      </c>
      <c r="X264" s="15">
        <f t="shared" si="223"/>
        <v>0</v>
      </c>
      <c r="Y264" s="15">
        <f>J264+Q264+X264</f>
        <v>0</v>
      </c>
      <c r="Z264" s="15">
        <f>SUM(H264,O264,V264)</f>
        <v>0</v>
      </c>
      <c r="AA264" s="78" t="e">
        <f t="shared" si="207"/>
        <v>#DIV/0!</v>
      </c>
      <c r="AB264" s="82"/>
      <c r="AG264" s="15">
        <f t="shared" si="201"/>
        <v>0</v>
      </c>
      <c r="AH264" s="15">
        <f t="shared" si="211"/>
        <v>0</v>
      </c>
      <c r="AI264" s="15">
        <f t="shared" si="212"/>
        <v>0</v>
      </c>
      <c r="AO264" s="15">
        <f t="shared" si="202"/>
        <v>0</v>
      </c>
      <c r="AP264" s="15">
        <f t="shared" si="213"/>
        <v>0</v>
      </c>
      <c r="AQ264" s="15">
        <f t="shared" si="214"/>
        <v>0</v>
      </c>
      <c r="AV264" s="15">
        <f>COUNTIF(AR264:AU264,"PR")</f>
        <v>0</v>
      </c>
      <c r="AW264" s="15">
        <f t="shared" si="234"/>
        <v>0</v>
      </c>
      <c r="AX264" s="15">
        <f t="shared" si="222"/>
        <v>0</v>
      </c>
      <c r="AY264" s="15">
        <f>AI264+AQ264+AX264</f>
        <v>0</v>
      </c>
      <c r="AZ264" s="15">
        <f>SUM(AG264,AO264,AV264)</f>
        <v>0</v>
      </c>
      <c r="BA264" s="78" t="e">
        <f t="shared" si="208"/>
        <v>#DIV/0!</v>
      </c>
      <c r="BD264" s="1"/>
      <c r="BF264" s="15">
        <f t="shared" si="203"/>
        <v>0</v>
      </c>
      <c r="BG264" s="15">
        <f t="shared" si="215"/>
        <v>0</v>
      </c>
      <c r="BH264" s="15">
        <f t="shared" si="216"/>
        <v>0</v>
      </c>
      <c r="BN264" s="15">
        <f t="shared" si="204"/>
        <v>0</v>
      </c>
      <c r="BO264" s="15">
        <f t="shared" si="235"/>
        <v>0</v>
      </c>
      <c r="BP264" s="15">
        <f t="shared" si="217"/>
        <v>0</v>
      </c>
      <c r="BU264" s="15">
        <f t="shared" si="205"/>
        <v>0</v>
      </c>
      <c r="BV264" s="15">
        <f t="shared" si="218"/>
        <v>0</v>
      </c>
      <c r="BW264" s="15">
        <f t="shared" si="219"/>
        <v>0</v>
      </c>
      <c r="BX264" s="15">
        <f t="shared" si="236"/>
        <v>0</v>
      </c>
      <c r="BY264" s="15">
        <f t="shared" si="237"/>
        <v>0</v>
      </c>
      <c r="BZ264" s="1" t="e">
        <f t="shared" si="227"/>
        <v>#DIV/0!</v>
      </c>
      <c r="CA264" s="82"/>
      <c r="CG264" s="15">
        <f>COUNTIF(CB264:CF264,"PR")</f>
        <v>0</v>
      </c>
      <c r="CH264" s="15">
        <f>COUNTIF(CB264:CF264,"AB")</f>
        <v>0</v>
      </c>
      <c r="CI264" s="15">
        <f t="shared" si="220"/>
        <v>0</v>
      </c>
      <c r="CN264" s="15">
        <f>COUNTIF(CJ264:CM264,"PR")</f>
        <v>0</v>
      </c>
      <c r="CO264" s="15">
        <f>COUNTIF(CJ264:CM264,"AB")</f>
        <v>0</v>
      </c>
      <c r="CP264" s="15">
        <f t="shared" si="221"/>
        <v>0</v>
      </c>
      <c r="CU264" s="15">
        <f t="shared" si="206"/>
        <v>0</v>
      </c>
      <c r="CV264" s="15">
        <f t="shared" si="228"/>
        <v>0</v>
      </c>
      <c r="CW264" s="15">
        <f t="shared" si="229"/>
        <v>0</v>
      </c>
      <c r="CX264" s="15">
        <f>CG264+CN264+CU264</f>
        <v>0</v>
      </c>
      <c r="CY264" s="15" t="e">
        <f>SUM(CE264,#REF!,CS264)</f>
        <v>#REF!</v>
      </c>
      <c r="CZ264" s="1" t="e">
        <f t="shared" si="210"/>
        <v>#REF!</v>
      </c>
      <c r="DA264" s="82"/>
    </row>
    <row r="265" spans="1:105">
      <c r="A265" s="68"/>
      <c r="B265" s="14"/>
      <c r="H265" s="15">
        <f t="shared" si="224"/>
        <v>0</v>
      </c>
      <c r="I265" s="18">
        <f t="shared" si="225"/>
        <v>0</v>
      </c>
      <c r="J265" s="15">
        <f t="shared" si="226"/>
        <v>0</v>
      </c>
      <c r="O265" s="15">
        <f t="shared" si="200"/>
        <v>0</v>
      </c>
      <c r="P265" s="18">
        <f t="shared" si="230"/>
        <v>0</v>
      </c>
      <c r="Q265" s="15">
        <f t="shared" si="231"/>
        <v>0</v>
      </c>
      <c r="U265" s="71"/>
      <c r="V265" s="15">
        <f t="shared" si="232"/>
        <v>0</v>
      </c>
      <c r="W265" s="15">
        <f t="shared" si="233"/>
        <v>0</v>
      </c>
      <c r="X265" s="15">
        <f t="shared" si="223"/>
        <v>0</v>
      </c>
      <c r="Y265" s="15">
        <f>J265+Q265+X265</f>
        <v>0</v>
      </c>
      <c r="Z265" s="15">
        <f>SUM(H265,O265,V265)</f>
        <v>0</v>
      </c>
      <c r="AA265" s="78" t="e">
        <f t="shared" si="207"/>
        <v>#DIV/0!</v>
      </c>
      <c r="AB265" s="82"/>
      <c r="AG265" s="15">
        <f t="shared" si="201"/>
        <v>0</v>
      </c>
      <c r="AH265" s="15">
        <f t="shared" si="211"/>
        <v>0</v>
      </c>
      <c r="AI265" s="15">
        <f t="shared" si="212"/>
        <v>0</v>
      </c>
      <c r="AO265" s="15">
        <f t="shared" si="202"/>
        <v>0</v>
      </c>
      <c r="AP265" s="15">
        <f t="shared" si="213"/>
        <v>0</v>
      </c>
      <c r="AQ265" s="15">
        <f t="shared" si="214"/>
        <v>0</v>
      </c>
      <c r="AV265" s="15">
        <f>COUNTIF(AR265:AU265,"PR")</f>
        <v>0</v>
      </c>
      <c r="AW265" s="15">
        <f t="shared" si="234"/>
        <v>0</v>
      </c>
      <c r="AX265" s="15">
        <f t="shared" si="222"/>
        <v>0</v>
      </c>
      <c r="AY265" s="15">
        <f>AI265+AQ265+AX265</f>
        <v>0</v>
      </c>
      <c r="AZ265" s="15">
        <f>SUM(AG265,AO265,AV265)</f>
        <v>0</v>
      </c>
      <c r="BA265" s="78" t="e">
        <f t="shared" si="208"/>
        <v>#DIV/0!</v>
      </c>
      <c r="BD265" s="1"/>
      <c r="BF265" s="15">
        <f t="shared" si="203"/>
        <v>0</v>
      </c>
      <c r="BG265" s="15">
        <f t="shared" si="215"/>
        <v>0</v>
      </c>
      <c r="BH265" s="15">
        <f t="shared" si="216"/>
        <v>0</v>
      </c>
      <c r="BN265" s="15">
        <f t="shared" si="204"/>
        <v>0</v>
      </c>
      <c r="BO265" s="15">
        <f t="shared" si="235"/>
        <v>0</v>
      </c>
      <c r="BP265" s="15">
        <f t="shared" si="217"/>
        <v>0</v>
      </c>
      <c r="BU265" s="15">
        <f t="shared" si="205"/>
        <v>0</v>
      </c>
      <c r="BV265" s="15">
        <f t="shared" si="218"/>
        <v>0</v>
      </c>
      <c r="BW265" s="15">
        <f t="shared" si="219"/>
        <v>0</v>
      </c>
      <c r="BX265" s="15">
        <f t="shared" si="236"/>
        <v>0</v>
      </c>
      <c r="BY265" s="15">
        <f t="shared" si="237"/>
        <v>0</v>
      </c>
      <c r="BZ265" s="1" t="e">
        <f t="shared" si="227"/>
        <v>#DIV/0!</v>
      </c>
      <c r="CA265" s="82"/>
      <c r="CG265" s="15">
        <f>COUNTIF(CB265:CF265,"PR")</f>
        <v>0</v>
      </c>
      <c r="CH265" s="15">
        <f>COUNTIF(CB265:CF265,"AB")</f>
        <v>0</v>
      </c>
      <c r="CI265" s="15">
        <f t="shared" si="220"/>
        <v>0</v>
      </c>
      <c r="CN265" s="15">
        <f>COUNTIF(CJ265:CM265,"PR")</f>
        <v>0</v>
      </c>
      <c r="CO265" s="15">
        <f>COUNTIF(CJ265:CM265,"AB")</f>
        <v>0</v>
      </c>
      <c r="CP265" s="15">
        <f t="shared" si="221"/>
        <v>0</v>
      </c>
      <c r="CU265" s="15">
        <f t="shared" si="206"/>
        <v>0</v>
      </c>
      <c r="CV265" s="15">
        <f t="shared" si="228"/>
        <v>0</v>
      </c>
      <c r="CW265" s="15">
        <f t="shared" si="229"/>
        <v>0</v>
      </c>
      <c r="CX265" s="15">
        <f>CG265+CN265+CU265</f>
        <v>0</v>
      </c>
      <c r="CY265" s="15" t="e">
        <f>SUM(CE265,#REF!,CS265)</f>
        <v>#REF!</v>
      </c>
      <c r="CZ265" s="1" t="e">
        <f t="shared" si="210"/>
        <v>#REF!</v>
      </c>
      <c r="DA265" s="82"/>
    </row>
    <row r="266" spans="1:105">
      <c r="A266" s="68"/>
      <c r="B266" s="14"/>
      <c r="H266" s="15">
        <f t="shared" si="224"/>
        <v>0</v>
      </c>
      <c r="I266" s="18">
        <f t="shared" si="225"/>
        <v>0</v>
      </c>
      <c r="J266" s="15">
        <f t="shared" si="226"/>
        <v>0</v>
      </c>
      <c r="O266" s="15">
        <f t="shared" si="200"/>
        <v>0</v>
      </c>
      <c r="P266" s="18">
        <f t="shared" si="230"/>
        <v>0</v>
      </c>
      <c r="Q266" s="15">
        <f t="shared" si="231"/>
        <v>0</v>
      </c>
      <c r="U266" s="71"/>
      <c r="V266" s="15">
        <f t="shared" si="232"/>
        <v>0</v>
      </c>
      <c r="W266" s="15">
        <f t="shared" si="233"/>
        <v>0</v>
      </c>
      <c r="X266" s="15">
        <f t="shared" si="223"/>
        <v>0</v>
      </c>
      <c r="Y266" s="15">
        <f>J266+Q266+X266</f>
        <v>0</v>
      </c>
      <c r="Z266" s="15">
        <f>SUM(H266,O266,V266)</f>
        <v>0</v>
      </c>
      <c r="AA266" s="78" t="e">
        <f t="shared" si="207"/>
        <v>#DIV/0!</v>
      </c>
      <c r="AB266" s="82"/>
      <c r="AG266" s="15">
        <f t="shared" si="201"/>
        <v>0</v>
      </c>
      <c r="AH266" s="15">
        <f t="shared" si="211"/>
        <v>0</v>
      </c>
      <c r="AI266" s="15">
        <f t="shared" si="212"/>
        <v>0</v>
      </c>
      <c r="AO266" s="15">
        <f t="shared" si="202"/>
        <v>0</v>
      </c>
      <c r="AP266" s="15">
        <f t="shared" si="213"/>
        <v>0</v>
      </c>
      <c r="AQ266" s="15">
        <f t="shared" si="214"/>
        <v>0</v>
      </c>
      <c r="AV266" s="15">
        <f>COUNTIF(AR266:AU266,"PR")</f>
        <v>0</v>
      </c>
      <c r="AW266" s="15">
        <f t="shared" si="234"/>
        <v>0</v>
      </c>
      <c r="AX266" s="15">
        <f t="shared" si="222"/>
        <v>0</v>
      </c>
      <c r="AY266" s="15">
        <f>AI266+AQ266+AX266</f>
        <v>0</v>
      </c>
      <c r="AZ266" s="15">
        <f>SUM(AG266,AO266,AV266)</f>
        <v>0</v>
      </c>
      <c r="BA266" s="78" t="e">
        <f t="shared" si="208"/>
        <v>#DIV/0!</v>
      </c>
      <c r="BD266" s="1"/>
      <c r="BF266" s="15">
        <f t="shared" si="203"/>
        <v>0</v>
      </c>
      <c r="BG266" s="15">
        <f t="shared" si="215"/>
        <v>0</v>
      </c>
      <c r="BH266" s="15">
        <f t="shared" si="216"/>
        <v>0</v>
      </c>
      <c r="BN266" s="15">
        <f t="shared" si="204"/>
        <v>0</v>
      </c>
      <c r="BO266" s="15">
        <f t="shared" si="235"/>
        <v>0</v>
      </c>
      <c r="BP266" s="15">
        <f t="shared" si="217"/>
        <v>0</v>
      </c>
      <c r="BU266" s="15">
        <f t="shared" si="205"/>
        <v>0</v>
      </c>
      <c r="BV266" s="15">
        <f t="shared" si="218"/>
        <v>0</v>
      </c>
      <c r="BW266" s="15">
        <f t="shared" si="219"/>
        <v>0</v>
      </c>
      <c r="BX266" s="15">
        <f t="shared" si="236"/>
        <v>0</v>
      </c>
      <c r="BY266" s="15">
        <f t="shared" si="237"/>
        <v>0</v>
      </c>
      <c r="BZ266" s="1" t="e">
        <f t="shared" si="227"/>
        <v>#DIV/0!</v>
      </c>
      <c r="CA266" s="82"/>
      <c r="CG266" s="15">
        <f>COUNTIF(CB266:CF266,"PR")</f>
        <v>0</v>
      </c>
      <c r="CH266" s="15">
        <f>COUNTIF(CB266:CF266,"AB")</f>
        <v>0</v>
      </c>
      <c r="CI266" s="15">
        <f t="shared" si="220"/>
        <v>0</v>
      </c>
      <c r="CN266" s="15">
        <f>COUNTIF(CJ266:CM266,"PR")</f>
        <v>0</v>
      </c>
      <c r="CO266" s="15">
        <f>COUNTIF(CJ266:CM266,"AB")</f>
        <v>0</v>
      </c>
      <c r="CP266" s="15">
        <f t="shared" si="221"/>
        <v>0</v>
      </c>
      <c r="CU266" s="15">
        <f t="shared" si="206"/>
        <v>0</v>
      </c>
      <c r="CV266" s="15">
        <f t="shared" si="228"/>
        <v>0</v>
      </c>
      <c r="CW266" s="15">
        <f t="shared" si="229"/>
        <v>0</v>
      </c>
      <c r="CX266" s="15">
        <f>CG266+CN266+CU266</f>
        <v>0</v>
      </c>
      <c r="CY266" s="15" t="e">
        <f>SUM(CE266,#REF!,CS266)</f>
        <v>#REF!</v>
      </c>
      <c r="CZ266" s="1" t="e">
        <f t="shared" si="210"/>
        <v>#REF!</v>
      </c>
      <c r="DA266" s="82"/>
    </row>
    <row r="267" spans="1:105">
      <c r="A267" s="68"/>
      <c r="B267" s="14"/>
      <c r="H267" s="15">
        <f t="shared" si="224"/>
        <v>0</v>
      </c>
      <c r="I267" s="18">
        <f t="shared" si="225"/>
        <v>0</v>
      </c>
      <c r="J267" s="15">
        <f t="shared" si="226"/>
        <v>0</v>
      </c>
      <c r="O267" s="15">
        <f t="shared" si="200"/>
        <v>0</v>
      </c>
      <c r="P267" s="18">
        <f t="shared" si="230"/>
        <v>0</v>
      </c>
      <c r="Q267" s="15">
        <f t="shared" si="231"/>
        <v>0</v>
      </c>
      <c r="U267" s="71"/>
      <c r="V267" s="15">
        <f t="shared" si="232"/>
        <v>0</v>
      </c>
      <c r="W267" s="15">
        <f t="shared" si="233"/>
        <v>0</v>
      </c>
      <c r="X267" s="15">
        <f t="shared" si="223"/>
        <v>0</v>
      </c>
      <c r="Y267" s="15">
        <f>J267+Q267+X267</f>
        <v>0</v>
      </c>
      <c r="Z267" s="15">
        <f>SUM(H267,O267,V267)</f>
        <v>0</v>
      </c>
      <c r="AA267" s="78" t="e">
        <f t="shared" si="207"/>
        <v>#DIV/0!</v>
      </c>
      <c r="AB267" s="82"/>
      <c r="AG267" s="15">
        <f t="shared" si="201"/>
        <v>0</v>
      </c>
      <c r="AH267" s="15">
        <f t="shared" si="211"/>
        <v>0</v>
      </c>
      <c r="AI267" s="15">
        <f t="shared" si="212"/>
        <v>0</v>
      </c>
      <c r="AO267" s="15">
        <f t="shared" si="202"/>
        <v>0</v>
      </c>
      <c r="AP267" s="15">
        <f t="shared" si="213"/>
        <v>0</v>
      </c>
      <c r="AQ267" s="15">
        <f t="shared" si="214"/>
        <v>0</v>
      </c>
      <c r="AV267" s="15">
        <f>COUNTIF(AR267:AU267,"PR")</f>
        <v>0</v>
      </c>
      <c r="AW267" s="15">
        <f t="shared" si="234"/>
        <v>0</v>
      </c>
      <c r="AX267" s="15">
        <f t="shared" si="222"/>
        <v>0</v>
      </c>
      <c r="AY267" s="15">
        <f>AI267+AQ267+AX267</f>
        <v>0</v>
      </c>
      <c r="AZ267" s="15">
        <f>SUM(AG267,AO267,AV267)</f>
        <v>0</v>
      </c>
      <c r="BA267" s="78" t="e">
        <f t="shared" si="208"/>
        <v>#DIV/0!</v>
      </c>
      <c r="BD267" s="1"/>
      <c r="BF267" s="15">
        <f t="shared" si="203"/>
        <v>0</v>
      </c>
      <c r="BG267" s="15">
        <f t="shared" si="215"/>
        <v>0</v>
      </c>
      <c r="BH267" s="15">
        <f t="shared" si="216"/>
        <v>0</v>
      </c>
      <c r="BN267" s="15">
        <f t="shared" si="204"/>
        <v>0</v>
      </c>
      <c r="BO267" s="15">
        <f t="shared" si="235"/>
        <v>0</v>
      </c>
      <c r="BP267" s="15">
        <f t="shared" si="217"/>
        <v>0</v>
      </c>
      <c r="BU267" s="15">
        <f t="shared" si="205"/>
        <v>0</v>
      </c>
      <c r="BV267" s="15">
        <f t="shared" si="218"/>
        <v>0</v>
      </c>
      <c r="BW267" s="15">
        <f t="shared" si="219"/>
        <v>0</v>
      </c>
      <c r="BX267" s="15">
        <f t="shared" si="236"/>
        <v>0</v>
      </c>
      <c r="BY267" s="15">
        <f t="shared" si="237"/>
        <v>0</v>
      </c>
      <c r="BZ267" s="1" t="e">
        <f t="shared" si="227"/>
        <v>#DIV/0!</v>
      </c>
      <c r="CA267" s="82"/>
      <c r="CG267" s="15">
        <f>COUNTIF(CB267:CF267,"PR")</f>
        <v>0</v>
      </c>
      <c r="CH267" s="15">
        <f>COUNTIF(CB267:CF267,"AB")</f>
        <v>0</v>
      </c>
      <c r="CI267" s="15">
        <f t="shared" si="220"/>
        <v>0</v>
      </c>
      <c r="CN267" s="15">
        <f>COUNTIF(CJ267:CM267,"PR")</f>
        <v>0</v>
      </c>
      <c r="CO267" s="15">
        <f>COUNTIF(CJ267:CM267,"AB")</f>
        <v>0</v>
      </c>
      <c r="CP267" s="15">
        <f t="shared" si="221"/>
        <v>0</v>
      </c>
      <c r="CU267" s="15">
        <f t="shared" si="206"/>
        <v>0</v>
      </c>
      <c r="CV267" s="15">
        <f t="shared" si="228"/>
        <v>0</v>
      </c>
      <c r="CW267" s="15">
        <f t="shared" si="229"/>
        <v>0</v>
      </c>
      <c r="CX267" s="15">
        <f>CG267+CN267+CU267</f>
        <v>0</v>
      </c>
      <c r="CY267" s="15" t="e">
        <f>SUM(CE267,#REF!,CS267)</f>
        <v>#REF!</v>
      </c>
      <c r="CZ267" s="1" t="e">
        <f t="shared" si="210"/>
        <v>#REF!</v>
      </c>
      <c r="DA267" s="82"/>
    </row>
    <row r="268" spans="1:105">
      <c r="A268" s="68"/>
      <c r="B268" s="14"/>
      <c r="H268" s="15">
        <f t="shared" si="224"/>
        <v>0</v>
      </c>
      <c r="I268" s="18">
        <f t="shared" si="225"/>
        <v>0</v>
      </c>
      <c r="J268" s="15">
        <f t="shared" si="226"/>
        <v>0</v>
      </c>
      <c r="O268" s="15">
        <f t="shared" si="200"/>
        <v>0</v>
      </c>
      <c r="P268" s="18">
        <f t="shared" si="230"/>
        <v>0</v>
      </c>
      <c r="Q268" s="15">
        <f t="shared" si="231"/>
        <v>0</v>
      </c>
      <c r="U268" s="71"/>
      <c r="V268" s="15">
        <f t="shared" si="232"/>
        <v>0</v>
      </c>
      <c r="W268" s="15">
        <f t="shared" si="233"/>
        <v>0</v>
      </c>
      <c r="X268" s="15">
        <f t="shared" si="223"/>
        <v>0</v>
      </c>
      <c r="Y268" s="15">
        <f>J268+Q268+X268</f>
        <v>0</v>
      </c>
      <c r="Z268" s="15">
        <f>SUM(H268,O268,V268)</f>
        <v>0</v>
      </c>
      <c r="AA268" s="78" t="e">
        <f t="shared" si="207"/>
        <v>#DIV/0!</v>
      </c>
      <c r="AB268" s="82"/>
      <c r="AG268" s="15">
        <f t="shared" si="201"/>
        <v>0</v>
      </c>
      <c r="AH268" s="15">
        <f t="shared" si="211"/>
        <v>0</v>
      </c>
      <c r="AI268" s="15">
        <f t="shared" si="212"/>
        <v>0</v>
      </c>
      <c r="AO268" s="15">
        <f t="shared" si="202"/>
        <v>0</v>
      </c>
      <c r="AP268" s="15">
        <f t="shared" si="213"/>
        <v>0</v>
      </c>
      <c r="AQ268" s="15">
        <f t="shared" si="214"/>
        <v>0</v>
      </c>
      <c r="AV268" s="15">
        <f>COUNTIF(AR268:AU268,"PR")</f>
        <v>0</v>
      </c>
      <c r="AW268" s="15">
        <f t="shared" si="234"/>
        <v>0</v>
      </c>
      <c r="AX268" s="15">
        <f t="shared" si="222"/>
        <v>0</v>
      </c>
      <c r="AY268" s="15">
        <f>AI268+AQ268+AX268</f>
        <v>0</v>
      </c>
      <c r="AZ268" s="15">
        <f>SUM(AG268,AO268,AV268)</f>
        <v>0</v>
      </c>
      <c r="BA268" s="78" t="e">
        <f t="shared" si="208"/>
        <v>#DIV/0!</v>
      </c>
      <c r="BD268" s="1"/>
      <c r="BF268" s="15">
        <f t="shared" si="203"/>
        <v>0</v>
      </c>
      <c r="BG268" s="15">
        <f t="shared" si="215"/>
        <v>0</v>
      </c>
      <c r="BH268" s="15">
        <f t="shared" si="216"/>
        <v>0</v>
      </c>
      <c r="BN268" s="15">
        <f t="shared" si="204"/>
        <v>0</v>
      </c>
      <c r="BO268" s="15">
        <f t="shared" si="235"/>
        <v>0</v>
      </c>
      <c r="BP268" s="15">
        <f t="shared" si="217"/>
        <v>0</v>
      </c>
      <c r="BU268" s="15">
        <f t="shared" si="205"/>
        <v>0</v>
      </c>
      <c r="BV268" s="15">
        <f t="shared" si="218"/>
        <v>0</v>
      </c>
      <c r="BW268" s="15">
        <f t="shared" si="219"/>
        <v>0</v>
      </c>
      <c r="BX268" s="15">
        <f t="shared" si="236"/>
        <v>0</v>
      </c>
      <c r="BY268" s="15">
        <f t="shared" si="237"/>
        <v>0</v>
      </c>
      <c r="BZ268" s="1" t="e">
        <f t="shared" si="227"/>
        <v>#DIV/0!</v>
      </c>
      <c r="CA268" s="82"/>
      <c r="CG268" s="15">
        <f>COUNTIF(CB268:CF268,"PR")</f>
        <v>0</v>
      </c>
      <c r="CH268" s="15">
        <f>COUNTIF(CB268:CF268,"AB")</f>
        <v>0</v>
      </c>
      <c r="CI268" s="15">
        <f t="shared" si="220"/>
        <v>0</v>
      </c>
      <c r="CN268" s="15">
        <f>COUNTIF(CJ268:CM268,"PR")</f>
        <v>0</v>
      </c>
      <c r="CO268" s="15">
        <f>COUNTIF(CJ268:CM268,"AB")</f>
        <v>0</v>
      </c>
      <c r="CP268" s="15">
        <f t="shared" si="221"/>
        <v>0</v>
      </c>
      <c r="CU268" s="15">
        <f t="shared" si="206"/>
        <v>0</v>
      </c>
      <c r="CV268" s="15">
        <f t="shared" si="228"/>
        <v>0</v>
      </c>
      <c r="CW268" s="15">
        <f t="shared" si="229"/>
        <v>0</v>
      </c>
      <c r="CX268" s="15">
        <f>CG268+CN268+CU268</f>
        <v>0</v>
      </c>
      <c r="CY268" s="15" t="e">
        <f>SUM(CE268,#REF!,CS268)</f>
        <v>#REF!</v>
      </c>
      <c r="CZ268" s="1" t="e">
        <f t="shared" si="210"/>
        <v>#REF!</v>
      </c>
      <c r="DA268" s="82"/>
    </row>
    <row r="269" spans="1:105">
      <c r="A269" s="68"/>
      <c r="B269" s="14"/>
      <c r="H269" s="15">
        <f t="shared" si="224"/>
        <v>0</v>
      </c>
      <c r="I269" s="18">
        <f t="shared" si="225"/>
        <v>0</v>
      </c>
      <c r="J269" s="15">
        <f t="shared" si="226"/>
        <v>0</v>
      </c>
      <c r="O269" s="15">
        <f t="shared" si="200"/>
        <v>0</v>
      </c>
      <c r="P269" s="18">
        <f t="shared" si="230"/>
        <v>0</v>
      </c>
      <c r="Q269" s="15">
        <f t="shared" si="231"/>
        <v>0</v>
      </c>
      <c r="U269" s="71"/>
      <c r="V269" s="15">
        <f t="shared" si="232"/>
        <v>0</v>
      </c>
      <c r="W269" s="15">
        <f t="shared" si="233"/>
        <v>0</v>
      </c>
      <c r="X269" s="15">
        <f t="shared" si="223"/>
        <v>0</v>
      </c>
      <c r="Y269" s="15">
        <f>J269+Q269+X269</f>
        <v>0</v>
      </c>
      <c r="Z269" s="15">
        <f>SUM(H269,O269,V269)</f>
        <v>0</v>
      </c>
      <c r="AA269" s="78" t="e">
        <f t="shared" si="207"/>
        <v>#DIV/0!</v>
      </c>
      <c r="AB269" s="82"/>
      <c r="AG269" s="15">
        <f t="shared" si="201"/>
        <v>0</v>
      </c>
      <c r="AH269" s="15">
        <f t="shared" si="211"/>
        <v>0</v>
      </c>
      <c r="AI269" s="15">
        <f t="shared" si="212"/>
        <v>0</v>
      </c>
      <c r="AO269" s="15">
        <f t="shared" si="202"/>
        <v>0</v>
      </c>
      <c r="AP269" s="15">
        <f t="shared" si="213"/>
        <v>0</v>
      </c>
      <c r="AQ269" s="15">
        <f t="shared" si="214"/>
        <v>0</v>
      </c>
      <c r="AV269" s="15">
        <f>COUNTIF(AR269:AU269,"PR")</f>
        <v>0</v>
      </c>
      <c r="AW269" s="15">
        <f t="shared" si="234"/>
        <v>0</v>
      </c>
      <c r="AX269" s="15">
        <f t="shared" si="222"/>
        <v>0</v>
      </c>
      <c r="AY269" s="15">
        <f>AI269+AQ269+AX269</f>
        <v>0</v>
      </c>
      <c r="AZ269" s="15">
        <f>SUM(AG269,AO269,AV269)</f>
        <v>0</v>
      </c>
      <c r="BA269" s="78" t="e">
        <f t="shared" si="208"/>
        <v>#DIV/0!</v>
      </c>
      <c r="BD269" s="1"/>
      <c r="BF269" s="15">
        <f t="shared" si="203"/>
        <v>0</v>
      </c>
      <c r="BG269" s="15">
        <f t="shared" si="215"/>
        <v>0</v>
      </c>
      <c r="BH269" s="15">
        <f t="shared" si="216"/>
        <v>0</v>
      </c>
      <c r="BN269" s="15">
        <f t="shared" si="204"/>
        <v>0</v>
      </c>
      <c r="BO269" s="15">
        <f t="shared" si="235"/>
        <v>0</v>
      </c>
      <c r="BP269" s="15">
        <f t="shared" si="217"/>
        <v>0</v>
      </c>
      <c r="BU269" s="15">
        <f t="shared" si="205"/>
        <v>0</v>
      </c>
      <c r="BV269" s="15">
        <f t="shared" si="218"/>
        <v>0</v>
      </c>
      <c r="BW269" s="15">
        <f t="shared" si="219"/>
        <v>0</v>
      </c>
      <c r="BX269" s="15">
        <f t="shared" si="236"/>
        <v>0</v>
      </c>
      <c r="BY269" s="15">
        <f t="shared" si="237"/>
        <v>0</v>
      </c>
      <c r="BZ269" s="1" t="e">
        <f t="shared" si="227"/>
        <v>#DIV/0!</v>
      </c>
      <c r="CA269" s="82"/>
      <c r="CG269" s="15">
        <f>COUNTIF(CB269:CF269,"PR")</f>
        <v>0</v>
      </c>
      <c r="CH269" s="15">
        <f>COUNTIF(CB269:CF269,"AB")</f>
        <v>0</v>
      </c>
      <c r="CI269" s="15">
        <f t="shared" si="220"/>
        <v>0</v>
      </c>
      <c r="CN269" s="15">
        <f>COUNTIF(CJ269:CM269,"PR")</f>
        <v>0</v>
      </c>
      <c r="CO269" s="15">
        <f>COUNTIF(CJ269:CM269,"AB")</f>
        <v>0</v>
      </c>
      <c r="CP269" s="15">
        <f t="shared" si="221"/>
        <v>0</v>
      </c>
      <c r="CU269" s="15">
        <f t="shared" si="206"/>
        <v>0</v>
      </c>
      <c r="CV269" s="15">
        <f t="shared" si="228"/>
        <v>0</v>
      </c>
      <c r="CW269" s="15">
        <f t="shared" si="229"/>
        <v>0</v>
      </c>
      <c r="CX269" s="15">
        <f>CG269+CN269+CU269</f>
        <v>0</v>
      </c>
      <c r="CY269" s="15" t="e">
        <f>SUM(CE269,#REF!,CS269)</f>
        <v>#REF!</v>
      </c>
      <c r="CZ269" s="1" t="e">
        <f t="shared" si="210"/>
        <v>#REF!</v>
      </c>
      <c r="DA269" s="82"/>
    </row>
    <row r="270" spans="1:105">
      <c r="A270" s="68"/>
      <c r="B270" s="14"/>
      <c r="H270" s="15">
        <f t="shared" si="224"/>
        <v>0</v>
      </c>
      <c r="I270" s="18">
        <f t="shared" si="225"/>
        <v>0</v>
      </c>
      <c r="J270" s="15">
        <f t="shared" si="226"/>
        <v>0</v>
      </c>
      <c r="O270" s="15">
        <f t="shared" si="200"/>
        <v>0</v>
      </c>
      <c r="P270" s="18">
        <f t="shared" si="230"/>
        <v>0</v>
      </c>
      <c r="Q270" s="15">
        <f t="shared" si="231"/>
        <v>0</v>
      </c>
      <c r="U270" s="71"/>
      <c r="V270" s="15">
        <f t="shared" si="232"/>
        <v>0</v>
      </c>
      <c r="W270" s="15">
        <f t="shared" si="233"/>
        <v>0</v>
      </c>
      <c r="X270" s="15">
        <f t="shared" si="223"/>
        <v>0</v>
      </c>
      <c r="Y270" s="15">
        <f>J270+Q270+X270</f>
        <v>0</v>
      </c>
      <c r="Z270" s="15">
        <f>SUM(H270,O270,V270)</f>
        <v>0</v>
      </c>
      <c r="AA270" s="78" t="e">
        <f t="shared" si="207"/>
        <v>#DIV/0!</v>
      </c>
      <c r="AB270" s="82"/>
      <c r="AG270" s="15">
        <f t="shared" si="201"/>
        <v>0</v>
      </c>
      <c r="AH270" s="15">
        <f t="shared" si="211"/>
        <v>0</v>
      </c>
      <c r="AI270" s="15">
        <f t="shared" si="212"/>
        <v>0</v>
      </c>
      <c r="AO270" s="15">
        <f t="shared" si="202"/>
        <v>0</v>
      </c>
      <c r="AP270" s="15">
        <f t="shared" si="213"/>
        <v>0</v>
      </c>
      <c r="AQ270" s="15">
        <f t="shared" si="214"/>
        <v>0</v>
      </c>
      <c r="AV270" s="15">
        <f>COUNTIF(AR270:AU270,"PR")</f>
        <v>0</v>
      </c>
      <c r="AW270" s="15">
        <f t="shared" si="234"/>
        <v>0</v>
      </c>
      <c r="AX270" s="15">
        <f t="shared" si="222"/>
        <v>0</v>
      </c>
      <c r="AY270" s="15">
        <f>AI270+AQ270+AX270</f>
        <v>0</v>
      </c>
      <c r="AZ270" s="15">
        <f>SUM(AG270,AO270,AV270)</f>
        <v>0</v>
      </c>
      <c r="BA270" s="78" t="e">
        <f t="shared" si="208"/>
        <v>#DIV/0!</v>
      </c>
      <c r="BD270" s="1"/>
      <c r="BF270" s="15">
        <f t="shared" si="203"/>
        <v>0</v>
      </c>
      <c r="BG270" s="15">
        <f t="shared" si="215"/>
        <v>0</v>
      </c>
      <c r="BH270" s="15">
        <f t="shared" si="216"/>
        <v>0</v>
      </c>
      <c r="BN270" s="15">
        <f t="shared" si="204"/>
        <v>0</v>
      </c>
      <c r="BO270" s="15">
        <f t="shared" si="235"/>
        <v>0</v>
      </c>
      <c r="BP270" s="15">
        <f t="shared" si="217"/>
        <v>0</v>
      </c>
      <c r="BU270" s="15">
        <f t="shared" si="205"/>
        <v>0</v>
      </c>
      <c r="BV270" s="15">
        <f t="shared" si="218"/>
        <v>0</v>
      </c>
      <c r="BW270" s="15">
        <f t="shared" si="219"/>
        <v>0</v>
      </c>
      <c r="BX270" s="15">
        <f t="shared" si="236"/>
        <v>0</v>
      </c>
      <c r="BY270" s="15">
        <f t="shared" si="237"/>
        <v>0</v>
      </c>
      <c r="BZ270" s="1" t="e">
        <f t="shared" si="227"/>
        <v>#DIV/0!</v>
      </c>
      <c r="CA270" s="82"/>
      <c r="CG270" s="15">
        <f>COUNTIF(CB270:CF270,"PR")</f>
        <v>0</v>
      </c>
      <c r="CH270" s="15">
        <f>COUNTIF(CB270:CF270,"AB")</f>
        <v>0</v>
      </c>
      <c r="CI270" s="15">
        <f t="shared" si="220"/>
        <v>0</v>
      </c>
      <c r="CN270" s="15">
        <f>COUNTIF(CJ270:CM270,"PR")</f>
        <v>0</v>
      </c>
      <c r="CO270" s="15">
        <f>COUNTIF(CJ270:CM270,"AB")</f>
        <v>0</v>
      </c>
      <c r="CP270" s="15">
        <f t="shared" si="221"/>
        <v>0</v>
      </c>
      <c r="CU270" s="15">
        <f t="shared" si="206"/>
        <v>0</v>
      </c>
      <c r="CV270" s="15">
        <f t="shared" si="228"/>
        <v>0</v>
      </c>
      <c r="CW270" s="15">
        <f t="shared" si="229"/>
        <v>0</v>
      </c>
      <c r="CX270" s="15">
        <f>CG270+CN270+CU270</f>
        <v>0</v>
      </c>
      <c r="CY270" s="15" t="e">
        <f>SUM(CE270,#REF!,CS270)</f>
        <v>#REF!</v>
      </c>
      <c r="CZ270" s="1" t="e">
        <f t="shared" si="210"/>
        <v>#REF!</v>
      </c>
      <c r="DA270" s="82"/>
    </row>
    <row r="271" spans="1:105">
      <c r="A271" s="68"/>
      <c r="B271" s="14"/>
      <c r="H271" s="15">
        <f t="shared" si="224"/>
        <v>0</v>
      </c>
      <c r="I271" s="18">
        <f t="shared" si="225"/>
        <v>0</v>
      </c>
      <c r="J271" s="15">
        <f t="shared" si="226"/>
        <v>0</v>
      </c>
      <c r="O271" s="15">
        <f t="shared" si="200"/>
        <v>0</v>
      </c>
      <c r="P271" s="18">
        <f t="shared" si="230"/>
        <v>0</v>
      </c>
      <c r="Q271" s="15">
        <f t="shared" si="231"/>
        <v>0</v>
      </c>
      <c r="U271" s="71"/>
      <c r="V271" s="15">
        <f t="shared" si="232"/>
        <v>0</v>
      </c>
      <c r="W271" s="15">
        <f t="shared" si="233"/>
        <v>0</v>
      </c>
      <c r="X271" s="15">
        <f t="shared" si="223"/>
        <v>0</v>
      </c>
      <c r="Y271" s="15">
        <f>J271+Q271+X271</f>
        <v>0</v>
      </c>
      <c r="Z271" s="15">
        <f>SUM(H271,O271,V271)</f>
        <v>0</v>
      </c>
      <c r="AA271" s="78" t="e">
        <f t="shared" si="207"/>
        <v>#DIV/0!</v>
      </c>
      <c r="AB271" s="82"/>
      <c r="AG271" s="15">
        <f t="shared" si="201"/>
        <v>0</v>
      </c>
      <c r="AH271" s="15">
        <f t="shared" si="211"/>
        <v>0</v>
      </c>
      <c r="AI271" s="15">
        <f t="shared" si="212"/>
        <v>0</v>
      </c>
      <c r="AO271" s="15">
        <f t="shared" si="202"/>
        <v>0</v>
      </c>
      <c r="AP271" s="15">
        <f t="shared" si="213"/>
        <v>0</v>
      </c>
      <c r="AQ271" s="15">
        <f t="shared" si="214"/>
        <v>0</v>
      </c>
      <c r="AV271" s="15">
        <f>COUNTIF(AR271:AU271,"PR")</f>
        <v>0</v>
      </c>
      <c r="AW271" s="15">
        <f t="shared" si="234"/>
        <v>0</v>
      </c>
      <c r="AX271" s="15">
        <f t="shared" si="222"/>
        <v>0</v>
      </c>
      <c r="AY271" s="15">
        <f>AI271+AQ271+AX271</f>
        <v>0</v>
      </c>
      <c r="AZ271" s="15">
        <f>SUM(AG271,AO271,AV271)</f>
        <v>0</v>
      </c>
      <c r="BA271" s="78" t="e">
        <f t="shared" si="208"/>
        <v>#DIV/0!</v>
      </c>
      <c r="BD271" s="1"/>
      <c r="BF271" s="15">
        <f t="shared" si="203"/>
        <v>0</v>
      </c>
      <c r="BG271" s="15">
        <f t="shared" si="215"/>
        <v>0</v>
      </c>
      <c r="BH271" s="15">
        <f t="shared" si="216"/>
        <v>0</v>
      </c>
      <c r="BN271" s="15">
        <f t="shared" si="204"/>
        <v>0</v>
      </c>
      <c r="BO271" s="15">
        <f t="shared" si="235"/>
        <v>0</v>
      </c>
      <c r="BP271" s="15">
        <f t="shared" si="217"/>
        <v>0</v>
      </c>
      <c r="BU271" s="15">
        <f t="shared" si="205"/>
        <v>0</v>
      </c>
      <c r="BV271" s="15">
        <f t="shared" si="218"/>
        <v>0</v>
      </c>
      <c r="BW271" s="15">
        <f t="shared" si="219"/>
        <v>0</v>
      </c>
      <c r="BX271" s="15">
        <f t="shared" si="236"/>
        <v>0</v>
      </c>
      <c r="BY271" s="15">
        <f t="shared" si="237"/>
        <v>0</v>
      </c>
      <c r="BZ271" s="1" t="e">
        <f t="shared" si="227"/>
        <v>#DIV/0!</v>
      </c>
      <c r="CA271" s="82"/>
      <c r="CG271" s="15">
        <f>COUNTIF(CB271:CF271,"PR")</f>
        <v>0</v>
      </c>
      <c r="CH271" s="15">
        <f>COUNTIF(CB271:CF271,"AB")</f>
        <v>0</v>
      </c>
      <c r="CI271" s="15">
        <f t="shared" si="220"/>
        <v>0</v>
      </c>
      <c r="CN271" s="15">
        <f>COUNTIF(CJ271:CM271,"PR")</f>
        <v>0</v>
      </c>
      <c r="CO271" s="15">
        <f>COUNTIF(CJ271:CM271,"AB")</f>
        <v>0</v>
      </c>
      <c r="CP271" s="15">
        <f t="shared" si="221"/>
        <v>0</v>
      </c>
      <c r="CU271" s="15">
        <f t="shared" si="206"/>
        <v>0</v>
      </c>
      <c r="CV271" s="15">
        <f t="shared" si="228"/>
        <v>0</v>
      </c>
      <c r="CW271" s="15">
        <f t="shared" si="229"/>
        <v>0</v>
      </c>
      <c r="CX271" s="15">
        <f>CG271+CN271+CU271</f>
        <v>0</v>
      </c>
      <c r="CY271" s="15" t="e">
        <f>SUM(CE271,#REF!,CS271)</f>
        <v>#REF!</v>
      </c>
      <c r="CZ271" s="1" t="e">
        <f t="shared" si="210"/>
        <v>#REF!</v>
      </c>
      <c r="DA271" s="82"/>
    </row>
    <row r="272" spans="1:105">
      <c r="A272" s="68"/>
      <c r="B272" s="14"/>
      <c r="H272" s="15">
        <f t="shared" si="224"/>
        <v>0</v>
      </c>
      <c r="I272" s="18">
        <f t="shared" si="225"/>
        <v>0</v>
      </c>
      <c r="J272" s="15">
        <f t="shared" si="226"/>
        <v>0</v>
      </c>
      <c r="O272" s="15">
        <f t="shared" ref="O272:O335" si="238">COUNTIF(K272:N272,"PR")</f>
        <v>0</v>
      </c>
      <c r="P272" s="18">
        <f t="shared" si="230"/>
        <v>0</v>
      </c>
      <c r="Q272" s="15">
        <f t="shared" si="231"/>
        <v>0</v>
      </c>
      <c r="U272" s="71"/>
      <c r="V272" s="15">
        <f t="shared" si="232"/>
        <v>0</v>
      </c>
      <c r="W272" s="15">
        <f t="shared" si="233"/>
        <v>0</v>
      </c>
      <c r="X272" s="15">
        <f t="shared" si="223"/>
        <v>0</v>
      </c>
      <c r="Y272" s="15">
        <f>J272+Q272+X272</f>
        <v>0</v>
      </c>
      <c r="Z272" s="15">
        <f>SUM(H272,O272,V272)</f>
        <v>0</v>
      </c>
      <c r="AA272" s="78" t="e">
        <f t="shared" si="207"/>
        <v>#DIV/0!</v>
      </c>
      <c r="AB272" s="82"/>
      <c r="AG272" s="15">
        <f t="shared" ref="AG272:AG335" si="239">COUNTIF(AC272:AF272,"PR")</f>
        <v>0</v>
      </c>
      <c r="AH272" s="15">
        <f t="shared" si="211"/>
        <v>0</v>
      </c>
      <c r="AI272" s="15">
        <f t="shared" si="212"/>
        <v>0</v>
      </c>
      <c r="AO272" s="15">
        <f t="shared" ref="AO272:AO335" si="240">COUNTIF(AJ272:AN272,"PR")</f>
        <v>0</v>
      </c>
      <c r="AP272" s="15">
        <f t="shared" si="213"/>
        <v>0</v>
      </c>
      <c r="AQ272" s="15">
        <f t="shared" si="214"/>
        <v>0</v>
      </c>
      <c r="AV272" s="15">
        <f>COUNTIF(AR272:AU272,"PR")</f>
        <v>0</v>
      </c>
      <c r="AW272" s="15">
        <f t="shared" si="234"/>
        <v>0</v>
      </c>
      <c r="AX272" s="15">
        <f t="shared" si="222"/>
        <v>0</v>
      </c>
      <c r="AY272" s="15">
        <f>AI272+AQ272+AX272</f>
        <v>0</v>
      </c>
      <c r="AZ272" s="15">
        <f>SUM(AG272,AO272,AV272)</f>
        <v>0</v>
      </c>
      <c r="BA272" s="78" t="e">
        <f t="shared" si="208"/>
        <v>#DIV/0!</v>
      </c>
      <c r="BD272" s="1"/>
      <c r="BF272" s="15">
        <f t="shared" ref="BF272:BF335" si="241">COUNTIF(BB272:BE272,"PR")</f>
        <v>0</v>
      </c>
      <c r="BG272" s="15">
        <f t="shared" si="215"/>
        <v>0</v>
      </c>
      <c r="BH272" s="15">
        <f t="shared" si="216"/>
        <v>0</v>
      </c>
      <c r="BN272" s="15">
        <f t="shared" ref="BN272:BN335" si="242">COUNTIF(BI272:BM272,"PR")</f>
        <v>0</v>
      </c>
      <c r="BO272" s="15">
        <f t="shared" si="235"/>
        <v>0</v>
      </c>
      <c r="BP272" s="15">
        <f t="shared" si="217"/>
        <v>0</v>
      </c>
      <c r="BU272" s="15">
        <f t="shared" ref="BU272:BU335" si="243">COUNTIF(BQ272:BT272,"PR")</f>
        <v>0</v>
      </c>
      <c r="BV272" s="15">
        <f t="shared" si="218"/>
        <v>0</v>
      </c>
      <c r="BW272" s="15">
        <f t="shared" si="219"/>
        <v>0</v>
      </c>
      <c r="BX272" s="15">
        <f t="shared" si="236"/>
        <v>0</v>
      </c>
      <c r="BY272" s="15">
        <f t="shared" si="237"/>
        <v>0</v>
      </c>
      <c r="BZ272" s="1" t="e">
        <f t="shared" si="227"/>
        <v>#DIV/0!</v>
      </c>
      <c r="CA272" s="82"/>
      <c r="CG272" s="15">
        <f>COUNTIF(CB272:CF272,"PR")</f>
        <v>0</v>
      </c>
      <c r="CH272" s="15">
        <f>COUNTIF(CB272:CF272,"AB")</f>
        <v>0</v>
      </c>
      <c r="CI272" s="15">
        <f t="shared" si="220"/>
        <v>0</v>
      </c>
      <c r="CN272" s="15">
        <f>COUNTIF(CJ272:CM272,"PR")</f>
        <v>0</v>
      </c>
      <c r="CO272" s="15">
        <f>COUNTIF(CJ272:CM272,"AB")</f>
        <v>0</v>
      </c>
      <c r="CP272" s="15">
        <f t="shared" si="221"/>
        <v>0</v>
      </c>
      <c r="CU272" s="15">
        <f t="shared" ref="CU272:CU335" si="244">COUNTIF(CQ272:CT272,"PR")</f>
        <v>0</v>
      </c>
      <c r="CV272" s="15">
        <f t="shared" si="228"/>
        <v>0</v>
      </c>
      <c r="CW272" s="15">
        <f t="shared" si="229"/>
        <v>0</v>
      </c>
      <c r="CX272" s="15">
        <f>CG272+CN272+CU272</f>
        <v>0</v>
      </c>
      <c r="CY272" s="15" t="e">
        <f>SUM(CE272,#REF!,CS272)</f>
        <v>#REF!</v>
      </c>
      <c r="CZ272" s="1" t="e">
        <f t="shared" si="210"/>
        <v>#REF!</v>
      </c>
      <c r="DA272" s="82"/>
    </row>
    <row r="273" spans="1:105">
      <c r="A273" s="68"/>
      <c r="B273" s="14"/>
      <c r="H273" s="15">
        <f t="shared" si="224"/>
        <v>0</v>
      </c>
      <c r="I273" s="18">
        <f t="shared" si="225"/>
        <v>0</v>
      </c>
      <c r="J273" s="15">
        <f t="shared" si="226"/>
        <v>0</v>
      </c>
      <c r="O273" s="15">
        <f t="shared" si="238"/>
        <v>0</v>
      </c>
      <c r="P273" s="18">
        <f t="shared" si="230"/>
        <v>0</v>
      </c>
      <c r="Q273" s="15">
        <f t="shared" si="231"/>
        <v>0</v>
      </c>
      <c r="U273" s="71"/>
      <c r="V273" s="15">
        <f t="shared" si="232"/>
        <v>0</v>
      </c>
      <c r="W273" s="15">
        <f t="shared" si="233"/>
        <v>0</v>
      </c>
      <c r="X273" s="15">
        <f t="shared" si="223"/>
        <v>0</v>
      </c>
      <c r="Y273" s="15">
        <f>J273+Q273+X273</f>
        <v>0</v>
      </c>
      <c r="Z273" s="15">
        <f>SUM(H273,O273,V273)</f>
        <v>0</v>
      </c>
      <c r="AA273" s="78" t="e">
        <f t="shared" ref="AA273:AA336" si="245">Z273/Y273*100</f>
        <v>#DIV/0!</v>
      </c>
      <c r="AB273" s="82"/>
      <c r="AG273" s="15">
        <f t="shared" si="239"/>
        <v>0</v>
      </c>
      <c r="AH273" s="15">
        <f t="shared" si="211"/>
        <v>0</v>
      </c>
      <c r="AI273" s="15">
        <f t="shared" si="212"/>
        <v>0</v>
      </c>
      <c r="AO273" s="15">
        <f t="shared" si="240"/>
        <v>0</v>
      </c>
      <c r="AP273" s="15">
        <f t="shared" si="213"/>
        <v>0</v>
      </c>
      <c r="AQ273" s="15">
        <f t="shared" si="214"/>
        <v>0</v>
      </c>
      <c r="AV273" s="15">
        <f>COUNTIF(AR273:AU273,"PR")</f>
        <v>0</v>
      </c>
      <c r="AW273" s="15">
        <f t="shared" si="234"/>
        <v>0</v>
      </c>
      <c r="AX273" s="15">
        <f t="shared" si="222"/>
        <v>0</v>
      </c>
      <c r="AY273" s="15">
        <f>AI273+AQ273+AX273</f>
        <v>0</v>
      </c>
      <c r="AZ273" s="15">
        <f>SUM(AG273,AO273,AV273)</f>
        <v>0</v>
      </c>
      <c r="BA273" s="78" t="e">
        <f t="shared" ref="BA273:BA336" si="246">AZ273/AY273*100</f>
        <v>#DIV/0!</v>
      </c>
      <c r="BD273" s="1"/>
      <c r="BF273" s="15">
        <f t="shared" si="241"/>
        <v>0</v>
      </c>
      <c r="BG273" s="15">
        <f t="shared" si="215"/>
        <v>0</v>
      </c>
      <c r="BH273" s="15">
        <f t="shared" si="216"/>
        <v>0</v>
      </c>
      <c r="BN273" s="15">
        <f t="shared" si="242"/>
        <v>0</v>
      </c>
      <c r="BO273" s="15">
        <f t="shared" si="235"/>
        <v>0</v>
      </c>
      <c r="BP273" s="15">
        <f t="shared" si="217"/>
        <v>0</v>
      </c>
      <c r="BU273" s="15">
        <f t="shared" si="243"/>
        <v>0</v>
      </c>
      <c r="BV273" s="15">
        <f t="shared" si="218"/>
        <v>0</v>
      </c>
      <c r="BW273" s="15">
        <f t="shared" si="219"/>
        <v>0</v>
      </c>
      <c r="BX273" s="15">
        <f t="shared" si="236"/>
        <v>0</v>
      </c>
      <c r="BY273" s="15">
        <f t="shared" si="237"/>
        <v>0</v>
      </c>
      <c r="BZ273" s="1" t="e">
        <f t="shared" ref="BZ273:BZ336" si="247">BY273/BX273*100</f>
        <v>#DIV/0!</v>
      </c>
      <c r="CA273" s="82"/>
      <c r="CG273" s="15">
        <f>COUNTIF(CB273:CF273,"PR")</f>
        <v>0</v>
      </c>
      <c r="CH273" s="15">
        <f>COUNTIF(CB273:CF273,"AB")</f>
        <v>0</v>
      </c>
      <c r="CI273" s="15">
        <f t="shared" si="220"/>
        <v>0</v>
      </c>
      <c r="CN273" s="15">
        <f>COUNTIF(CJ273:CM273,"PR")</f>
        <v>0</v>
      </c>
      <c r="CO273" s="15">
        <f>COUNTIF(CJ273:CM273,"AB")</f>
        <v>0</v>
      </c>
      <c r="CP273" s="15">
        <f t="shared" si="221"/>
        <v>0</v>
      </c>
      <c r="CU273" s="15">
        <f t="shared" si="244"/>
        <v>0</v>
      </c>
      <c r="CV273" s="15">
        <f t="shared" si="228"/>
        <v>0</v>
      </c>
      <c r="CW273" s="15">
        <f t="shared" si="229"/>
        <v>0</v>
      </c>
      <c r="CX273" s="15">
        <f>CG273+CN273+CU273</f>
        <v>0</v>
      </c>
      <c r="CY273" s="15" t="e">
        <f>SUM(CE273,#REF!,CS273)</f>
        <v>#REF!</v>
      </c>
      <c r="CZ273" s="1" t="e">
        <f t="shared" ref="CZ273:CZ336" si="248">CY273/CX273*100</f>
        <v>#REF!</v>
      </c>
      <c r="DA273" s="82"/>
    </row>
    <row r="274" spans="1:105">
      <c r="A274" s="68"/>
      <c r="B274" s="14"/>
      <c r="H274" s="15">
        <f t="shared" si="224"/>
        <v>0</v>
      </c>
      <c r="I274" s="18">
        <f t="shared" si="225"/>
        <v>0</v>
      </c>
      <c r="J274" s="15">
        <f t="shared" si="226"/>
        <v>0</v>
      </c>
      <c r="O274" s="15">
        <f t="shared" si="238"/>
        <v>0</v>
      </c>
      <c r="P274" s="18">
        <f t="shared" si="230"/>
        <v>0</v>
      </c>
      <c r="Q274" s="15">
        <f t="shared" si="231"/>
        <v>0</v>
      </c>
      <c r="U274" s="71"/>
      <c r="V274" s="15">
        <f t="shared" si="232"/>
        <v>0</v>
      </c>
      <c r="W274" s="15">
        <f t="shared" si="233"/>
        <v>0</v>
      </c>
      <c r="X274" s="15">
        <f t="shared" si="223"/>
        <v>0</v>
      </c>
      <c r="Y274" s="15">
        <f>J274+Q274+X274</f>
        <v>0</v>
      </c>
      <c r="Z274" s="15">
        <f>SUM(H274,O274,V274)</f>
        <v>0</v>
      </c>
      <c r="AA274" s="78" t="e">
        <f t="shared" si="245"/>
        <v>#DIV/0!</v>
      </c>
      <c r="AB274" s="82"/>
      <c r="AG274" s="15">
        <f t="shared" si="239"/>
        <v>0</v>
      </c>
      <c r="AH274" s="15">
        <f t="shared" si="211"/>
        <v>0</v>
      </c>
      <c r="AI274" s="15">
        <f t="shared" si="212"/>
        <v>0</v>
      </c>
      <c r="AO274" s="15">
        <f t="shared" si="240"/>
        <v>0</v>
      </c>
      <c r="AP274" s="15">
        <f t="shared" si="213"/>
        <v>0</v>
      </c>
      <c r="AQ274" s="15">
        <f t="shared" si="214"/>
        <v>0</v>
      </c>
      <c r="AV274" s="15">
        <f>COUNTIF(AR274:AU274,"PR")</f>
        <v>0</v>
      </c>
      <c r="AW274" s="15">
        <f t="shared" si="234"/>
        <v>0</v>
      </c>
      <c r="AX274" s="15">
        <f t="shared" si="222"/>
        <v>0</v>
      </c>
      <c r="AY274" s="15">
        <f>AI274+AQ274+AX274</f>
        <v>0</v>
      </c>
      <c r="AZ274" s="15">
        <f>SUM(AG274,AO274,AV274)</f>
        <v>0</v>
      </c>
      <c r="BA274" s="78" t="e">
        <f t="shared" si="246"/>
        <v>#DIV/0!</v>
      </c>
      <c r="BD274" s="1"/>
      <c r="BF274" s="15">
        <f t="shared" si="241"/>
        <v>0</v>
      </c>
      <c r="BG274" s="15">
        <f t="shared" si="215"/>
        <v>0</v>
      </c>
      <c r="BH274" s="15">
        <f t="shared" si="216"/>
        <v>0</v>
      </c>
      <c r="BN274" s="15">
        <f t="shared" si="242"/>
        <v>0</v>
      </c>
      <c r="BO274" s="15">
        <f t="shared" si="235"/>
        <v>0</v>
      </c>
      <c r="BP274" s="15">
        <f t="shared" si="217"/>
        <v>0</v>
      </c>
      <c r="BU274" s="15">
        <f t="shared" si="243"/>
        <v>0</v>
      </c>
      <c r="BV274" s="15">
        <f t="shared" si="218"/>
        <v>0</v>
      </c>
      <c r="BW274" s="15">
        <f t="shared" si="219"/>
        <v>0</v>
      </c>
      <c r="BX274" s="15">
        <f t="shared" si="236"/>
        <v>0</v>
      </c>
      <c r="BY274" s="15">
        <f t="shared" si="237"/>
        <v>0</v>
      </c>
      <c r="BZ274" s="1" t="e">
        <f t="shared" si="247"/>
        <v>#DIV/0!</v>
      </c>
      <c r="CA274" s="82"/>
      <c r="CG274" s="15">
        <f>COUNTIF(CB274:CF274,"PR")</f>
        <v>0</v>
      </c>
      <c r="CH274" s="15">
        <f>COUNTIF(CB274:CF274,"AB")</f>
        <v>0</v>
      </c>
      <c r="CI274" s="15">
        <f t="shared" si="220"/>
        <v>0</v>
      </c>
      <c r="CN274" s="15">
        <f>COUNTIF(CJ274:CM274,"PR")</f>
        <v>0</v>
      </c>
      <c r="CO274" s="15">
        <f>COUNTIF(CJ274:CM274,"AB")</f>
        <v>0</v>
      </c>
      <c r="CP274" s="15">
        <f t="shared" si="221"/>
        <v>0</v>
      </c>
      <c r="CU274" s="15">
        <f t="shared" si="244"/>
        <v>0</v>
      </c>
      <c r="CV274" s="15">
        <f t="shared" si="228"/>
        <v>0</v>
      </c>
      <c r="CW274" s="15">
        <f t="shared" si="229"/>
        <v>0</v>
      </c>
      <c r="CX274" s="15">
        <f>CG274+CN274+CU274</f>
        <v>0</v>
      </c>
      <c r="CY274" s="15" t="e">
        <f>SUM(CE274,#REF!,CS274)</f>
        <v>#REF!</v>
      </c>
      <c r="CZ274" s="1" t="e">
        <f t="shared" si="248"/>
        <v>#REF!</v>
      </c>
      <c r="DA274" s="82"/>
    </row>
    <row r="275" spans="1:105">
      <c r="A275" s="68"/>
      <c r="B275" s="14"/>
      <c r="H275" s="15">
        <f t="shared" si="224"/>
        <v>0</v>
      </c>
      <c r="I275" s="18">
        <f t="shared" si="225"/>
        <v>0</v>
      </c>
      <c r="J275" s="15">
        <f t="shared" si="226"/>
        <v>0</v>
      </c>
      <c r="O275" s="15">
        <f t="shared" si="238"/>
        <v>0</v>
      </c>
      <c r="P275" s="18">
        <f t="shared" si="230"/>
        <v>0</v>
      </c>
      <c r="Q275" s="15">
        <f t="shared" si="231"/>
        <v>0</v>
      </c>
      <c r="U275" s="71"/>
      <c r="V275" s="15">
        <f t="shared" si="232"/>
        <v>0</v>
      </c>
      <c r="W275" s="15">
        <f t="shared" si="233"/>
        <v>0</v>
      </c>
      <c r="X275" s="15">
        <f t="shared" si="223"/>
        <v>0</v>
      </c>
      <c r="Y275" s="15">
        <f>J275+Q275+X275</f>
        <v>0</v>
      </c>
      <c r="Z275" s="15">
        <f>SUM(H275,O275,V275)</f>
        <v>0</v>
      </c>
      <c r="AA275" s="78" t="e">
        <f t="shared" si="245"/>
        <v>#DIV/0!</v>
      </c>
      <c r="AB275" s="82"/>
      <c r="AG275" s="15">
        <f t="shared" si="239"/>
        <v>0</v>
      </c>
      <c r="AH275" s="15">
        <f t="shared" si="211"/>
        <v>0</v>
      </c>
      <c r="AI275" s="15">
        <f t="shared" si="212"/>
        <v>0</v>
      </c>
      <c r="AO275" s="15">
        <f t="shared" si="240"/>
        <v>0</v>
      </c>
      <c r="AP275" s="15">
        <f t="shared" si="213"/>
        <v>0</v>
      </c>
      <c r="AQ275" s="15">
        <f t="shared" si="214"/>
        <v>0</v>
      </c>
      <c r="AV275" s="15">
        <f>COUNTIF(AR275:AU275,"PR")</f>
        <v>0</v>
      </c>
      <c r="AW275" s="15">
        <f t="shared" si="234"/>
        <v>0</v>
      </c>
      <c r="AX275" s="15">
        <f t="shared" si="222"/>
        <v>0</v>
      </c>
      <c r="AY275" s="15">
        <f>AI275+AQ275+AX275</f>
        <v>0</v>
      </c>
      <c r="AZ275" s="15">
        <f>SUM(AG275,AO275,AV275)</f>
        <v>0</v>
      </c>
      <c r="BA275" s="78" t="e">
        <f t="shared" si="246"/>
        <v>#DIV/0!</v>
      </c>
      <c r="BD275" s="1"/>
      <c r="BF275" s="15">
        <f t="shared" si="241"/>
        <v>0</v>
      </c>
      <c r="BG275" s="15">
        <f t="shared" si="215"/>
        <v>0</v>
      </c>
      <c r="BH275" s="15">
        <f t="shared" si="216"/>
        <v>0</v>
      </c>
      <c r="BN275" s="15">
        <f t="shared" si="242"/>
        <v>0</v>
      </c>
      <c r="BO275" s="15">
        <f t="shared" si="235"/>
        <v>0</v>
      </c>
      <c r="BP275" s="15">
        <f t="shared" si="217"/>
        <v>0</v>
      </c>
      <c r="BU275" s="15">
        <f t="shared" si="243"/>
        <v>0</v>
      </c>
      <c r="BV275" s="15">
        <f t="shared" si="218"/>
        <v>0</v>
      </c>
      <c r="BW275" s="15">
        <f t="shared" si="219"/>
        <v>0</v>
      </c>
      <c r="BX275" s="15">
        <f t="shared" si="236"/>
        <v>0</v>
      </c>
      <c r="BY275" s="15">
        <f t="shared" si="237"/>
        <v>0</v>
      </c>
      <c r="BZ275" s="1" t="e">
        <f t="shared" si="247"/>
        <v>#DIV/0!</v>
      </c>
      <c r="CA275" s="82"/>
      <c r="CG275" s="15">
        <f>COUNTIF(CB275:CF275,"PR")</f>
        <v>0</v>
      </c>
      <c r="CH275" s="15">
        <f>COUNTIF(CB275:CF275,"AB")</f>
        <v>0</v>
      </c>
      <c r="CI275" s="15">
        <f t="shared" si="220"/>
        <v>0</v>
      </c>
      <c r="CN275" s="15">
        <f>COUNTIF(CJ275:CM275,"PR")</f>
        <v>0</v>
      </c>
      <c r="CO275" s="15">
        <f>COUNTIF(CJ275:CM275,"AB")</f>
        <v>0</v>
      </c>
      <c r="CP275" s="15">
        <f t="shared" si="221"/>
        <v>0</v>
      </c>
      <c r="CU275" s="15">
        <f t="shared" si="244"/>
        <v>0</v>
      </c>
      <c r="CV275" s="15">
        <f t="shared" si="228"/>
        <v>0</v>
      </c>
      <c r="CW275" s="15">
        <f t="shared" si="229"/>
        <v>0</v>
      </c>
      <c r="CX275" s="15">
        <f>CG275+CN275+CU275</f>
        <v>0</v>
      </c>
      <c r="CY275" s="15" t="e">
        <f>SUM(CE275,#REF!,CS275)</f>
        <v>#REF!</v>
      </c>
      <c r="CZ275" s="1" t="e">
        <f t="shared" si="248"/>
        <v>#REF!</v>
      </c>
      <c r="DA275" s="82"/>
    </row>
    <row r="276" spans="1:105">
      <c r="A276" s="68"/>
      <c r="B276" s="14"/>
      <c r="H276" s="15">
        <f t="shared" si="224"/>
        <v>0</v>
      </c>
      <c r="I276" s="18">
        <f t="shared" si="225"/>
        <v>0</v>
      </c>
      <c r="J276" s="15">
        <f t="shared" si="226"/>
        <v>0</v>
      </c>
      <c r="O276" s="15">
        <f t="shared" si="238"/>
        <v>0</v>
      </c>
      <c r="P276" s="18">
        <f t="shared" si="230"/>
        <v>0</v>
      </c>
      <c r="Q276" s="15">
        <f t="shared" si="231"/>
        <v>0</v>
      </c>
      <c r="U276" s="71"/>
      <c r="V276" s="15">
        <f t="shared" si="232"/>
        <v>0</v>
      </c>
      <c r="W276" s="15">
        <f t="shared" si="233"/>
        <v>0</v>
      </c>
      <c r="X276" s="15">
        <f t="shared" si="223"/>
        <v>0</v>
      </c>
      <c r="Y276" s="15">
        <f>J276+Q276+X276</f>
        <v>0</v>
      </c>
      <c r="Z276" s="15">
        <f>SUM(H276,O276,V276)</f>
        <v>0</v>
      </c>
      <c r="AA276" s="78" t="e">
        <f t="shared" si="245"/>
        <v>#DIV/0!</v>
      </c>
      <c r="AB276" s="82"/>
      <c r="AG276" s="15">
        <f t="shared" si="239"/>
        <v>0</v>
      </c>
      <c r="AH276" s="15">
        <f t="shared" si="211"/>
        <v>0</v>
      </c>
      <c r="AI276" s="15">
        <f t="shared" si="212"/>
        <v>0</v>
      </c>
      <c r="AO276" s="15">
        <f t="shared" si="240"/>
        <v>0</v>
      </c>
      <c r="AP276" s="15">
        <f t="shared" si="213"/>
        <v>0</v>
      </c>
      <c r="AQ276" s="15">
        <f t="shared" si="214"/>
        <v>0</v>
      </c>
      <c r="AV276" s="15">
        <f>COUNTIF(AR276:AU276,"PR")</f>
        <v>0</v>
      </c>
      <c r="AW276" s="15">
        <f t="shared" si="234"/>
        <v>0</v>
      </c>
      <c r="AX276" s="15">
        <f t="shared" si="222"/>
        <v>0</v>
      </c>
      <c r="AY276" s="15">
        <f>AI276+AQ276+AX276</f>
        <v>0</v>
      </c>
      <c r="AZ276" s="15">
        <f>SUM(AG276,AO276,AV276)</f>
        <v>0</v>
      </c>
      <c r="BA276" s="78" t="e">
        <f t="shared" si="246"/>
        <v>#DIV/0!</v>
      </c>
      <c r="BD276" s="1"/>
      <c r="BF276" s="15">
        <f t="shared" si="241"/>
        <v>0</v>
      </c>
      <c r="BG276" s="15">
        <f t="shared" si="215"/>
        <v>0</v>
      </c>
      <c r="BH276" s="15">
        <f t="shared" si="216"/>
        <v>0</v>
      </c>
      <c r="BN276" s="15">
        <f t="shared" si="242"/>
        <v>0</v>
      </c>
      <c r="BO276" s="15">
        <f t="shared" si="235"/>
        <v>0</v>
      </c>
      <c r="BP276" s="15">
        <f t="shared" si="217"/>
        <v>0</v>
      </c>
      <c r="BU276" s="15">
        <f t="shared" si="243"/>
        <v>0</v>
      </c>
      <c r="BV276" s="15">
        <f t="shared" si="218"/>
        <v>0</v>
      </c>
      <c r="BW276" s="15">
        <f t="shared" si="219"/>
        <v>0</v>
      </c>
      <c r="BX276" s="15">
        <f t="shared" si="236"/>
        <v>0</v>
      </c>
      <c r="BY276" s="15">
        <f t="shared" si="237"/>
        <v>0</v>
      </c>
      <c r="BZ276" s="1" t="e">
        <f t="shared" si="247"/>
        <v>#DIV/0!</v>
      </c>
      <c r="CA276" s="82"/>
      <c r="CG276" s="15">
        <f>COUNTIF(CB276:CF276,"PR")</f>
        <v>0</v>
      </c>
      <c r="CH276" s="15">
        <f>COUNTIF(CB276:CF276,"AB")</f>
        <v>0</v>
      </c>
      <c r="CI276" s="15">
        <f t="shared" si="220"/>
        <v>0</v>
      </c>
      <c r="CN276" s="15">
        <f>COUNTIF(CJ276:CM276,"PR")</f>
        <v>0</v>
      </c>
      <c r="CO276" s="15">
        <f>COUNTIF(CJ276:CM276,"AB")</f>
        <v>0</v>
      </c>
      <c r="CP276" s="15">
        <f t="shared" si="221"/>
        <v>0</v>
      </c>
      <c r="CU276" s="15">
        <f t="shared" si="244"/>
        <v>0</v>
      </c>
      <c r="CV276" s="15">
        <f t="shared" si="228"/>
        <v>0</v>
      </c>
      <c r="CW276" s="15">
        <f t="shared" si="229"/>
        <v>0</v>
      </c>
      <c r="CX276" s="15">
        <f>CG276+CN276+CU276</f>
        <v>0</v>
      </c>
      <c r="CY276" s="15" t="e">
        <f>SUM(CE276,#REF!,CS276)</f>
        <v>#REF!</v>
      </c>
      <c r="CZ276" s="1" t="e">
        <f t="shared" si="248"/>
        <v>#REF!</v>
      </c>
      <c r="DA276" s="82"/>
    </row>
    <row r="277" spans="1:105">
      <c r="A277" s="68"/>
      <c r="B277" s="14"/>
      <c r="H277" s="15">
        <f t="shared" si="224"/>
        <v>0</v>
      </c>
      <c r="I277" s="18">
        <f t="shared" si="225"/>
        <v>0</v>
      </c>
      <c r="J277" s="15">
        <f t="shared" si="226"/>
        <v>0</v>
      </c>
      <c r="O277" s="15">
        <f t="shared" si="238"/>
        <v>0</v>
      </c>
      <c r="P277" s="18">
        <f t="shared" si="230"/>
        <v>0</v>
      </c>
      <c r="Q277" s="15">
        <f t="shared" si="231"/>
        <v>0</v>
      </c>
      <c r="U277" s="71"/>
      <c r="V277" s="15">
        <f t="shared" si="232"/>
        <v>0</v>
      </c>
      <c r="W277" s="15">
        <f t="shared" si="233"/>
        <v>0</v>
      </c>
      <c r="X277" s="15">
        <f t="shared" si="223"/>
        <v>0</v>
      </c>
      <c r="Y277" s="15">
        <f>J277+Q277+X277</f>
        <v>0</v>
      </c>
      <c r="Z277" s="15">
        <f>SUM(H277,O277,V277)</f>
        <v>0</v>
      </c>
      <c r="AA277" s="78" t="e">
        <f t="shared" si="245"/>
        <v>#DIV/0!</v>
      </c>
      <c r="AB277" s="82"/>
      <c r="AG277" s="15">
        <f t="shared" si="239"/>
        <v>0</v>
      </c>
      <c r="AH277" s="15">
        <f t="shared" si="211"/>
        <v>0</v>
      </c>
      <c r="AI277" s="15">
        <f t="shared" si="212"/>
        <v>0</v>
      </c>
      <c r="AO277" s="15">
        <f t="shared" si="240"/>
        <v>0</v>
      </c>
      <c r="AP277" s="15">
        <f t="shared" si="213"/>
        <v>0</v>
      </c>
      <c r="AQ277" s="15">
        <f t="shared" si="214"/>
        <v>0</v>
      </c>
      <c r="AV277" s="15">
        <f>COUNTIF(AR277:AU277,"PR")</f>
        <v>0</v>
      </c>
      <c r="AW277" s="15">
        <f t="shared" si="234"/>
        <v>0</v>
      </c>
      <c r="AX277" s="15">
        <f t="shared" si="222"/>
        <v>0</v>
      </c>
      <c r="AY277" s="15">
        <f>AI277+AQ277+AX277</f>
        <v>0</v>
      </c>
      <c r="AZ277" s="15">
        <f>SUM(AG277,AO277,AV277)</f>
        <v>0</v>
      </c>
      <c r="BA277" s="78" t="e">
        <f t="shared" si="246"/>
        <v>#DIV/0!</v>
      </c>
      <c r="BD277" s="1"/>
      <c r="BF277" s="15">
        <f t="shared" si="241"/>
        <v>0</v>
      </c>
      <c r="BG277" s="15">
        <f t="shared" si="215"/>
        <v>0</v>
      </c>
      <c r="BH277" s="15">
        <f t="shared" si="216"/>
        <v>0</v>
      </c>
      <c r="BN277" s="15">
        <f t="shared" si="242"/>
        <v>0</v>
      </c>
      <c r="BO277" s="15">
        <f t="shared" si="235"/>
        <v>0</v>
      </c>
      <c r="BP277" s="15">
        <f t="shared" si="217"/>
        <v>0</v>
      </c>
      <c r="BU277" s="15">
        <f t="shared" si="243"/>
        <v>0</v>
      </c>
      <c r="BV277" s="15">
        <f t="shared" si="218"/>
        <v>0</v>
      </c>
      <c r="BW277" s="15">
        <f t="shared" si="219"/>
        <v>0</v>
      </c>
      <c r="BX277" s="15">
        <f t="shared" si="236"/>
        <v>0</v>
      </c>
      <c r="BY277" s="15">
        <f t="shared" si="237"/>
        <v>0</v>
      </c>
      <c r="BZ277" s="1" t="e">
        <f t="shared" si="247"/>
        <v>#DIV/0!</v>
      </c>
      <c r="CA277" s="82"/>
      <c r="CG277" s="15">
        <f>COUNTIF(CB277:CF277,"PR")</f>
        <v>0</v>
      </c>
      <c r="CH277" s="15">
        <f>COUNTIF(CB277:CF277,"AB")</f>
        <v>0</v>
      </c>
      <c r="CI277" s="15">
        <f t="shared" si="220"/>
        <v>0</v>
      </c>
      <c r="CN277" s="15">
        <f>COUNTIF(CJ277:CM277,"PR")</f>
        <v>0</v>
      </c>
      <c r="CO277" s="15">
        <f>COUNTIF(CJ277:CM277,"AB")</f>
        <v>0</v>
      </c>
      <c r="CP277" s="15">
        <f t="shared" si="221"/>
        <v>0</v>
      </c>
      <c r="CU277" s="15">
        <f t="shared" si="244"/>
        <v>0</v>
      </c>
      <c r="CV277" s="15">
        <f t="shared" si="228"/>
        <v>0</v>
      </c>
      <c r="CW277" s="15">
        <f t="shared" si="229"/>
        <v>0</v>
      </c>
      <c r="CX277" s="15">
        <f>CG277+CN277+CU277</f>
        <v>0</v>
      </c>
      <c r="CY277" s="15" t="e">
        <f>SUM(CE277,#REF!,CS277)</f>
        <v>#REF!</v>
      </c>
      <c r="CZ277" s="1" t="e">
        <f t="shared" si="248"/>
        <v>#REF!</v>
      </c>
      <c r="DA277" s="82"/>
    </row>
    <row r="278" spans="1:105">
      <c r="A278" s="68"/>
      <c r="B278" s="14"/>
      <c r="H278" s="15">
        <f t="shared" si="224"/>
        <v>0</v>
      </c>
      <c r="I278" s="18">
        <f t="shared" si="225"/>
        <v>0</v>
      </c>
      <c r="J278" s="15">
        <f t="shared" si="226"/>
        <v>0</v>
      </c>
      <c r="O278" s="15">
        <f t="shared" si="238"/>
        <v>0</v>
      </c>
      <c r="P278" s="18">
        <f t="shared" si="230"/>
        <v>0</v>
      </c>
      <c r="Q278" s="15">
        <f t="shared" si="231"/>
        <v>0</v>
      </c>
      <c r="U278" s="71"/>
      <c r="V278" s="15">
        <f t="shared" si="232"/>
        <v>0</v>
      </c>
      <c r="W278" s="15">
        <f t="shared" si="233"/>
        <v>0</v>
      </c>
      <c r="X278" s="15">
        <f t="shared" si="223"/>
        <v>0</v>
      </c>
      <c r="Y278" s="15">
        <f>J278+Q278+X278</f>
        <v>0</v>
      </c>
      <c r="Z278" s="15">
        <f>SUM(H278,O278,V278)</f>
        <v>0</v>
      </c>
      <c r="AA278" s="78" t="e">
        <f t="shared" si="245"/>
        <v>#DIV/0!</v>
      </c>
      <c r="AB278" s="82"/>
      <c r="AG278" s="15">
        <f t="shared" si="239"/>
        <v>0</v>
      </c>
      <c r="AH278" s="15">
        <f t="shared" si="211"/>
        <v>0</v>
      </c>
      <c r="AI278" s="15">
        <f t="shared" si="212"/>
        <v>0</v>
      </c>
      <c r="AO278" s="15">
        <f t="shared" si="240"/>
        <v>0</v>
      </c>
      <c r="AP278" s="15">
        <f t="shared" si="213"/>
        <v>0</v>
      </c>
      <c r="AQ278" s="15">
        <f t="shared" si="214"/>
        <v>0</v>
      </c>
      <c r="AV278" s="15">
        <f>COUNTIF(AR278:AU278,"PR")</f>
        <v>0</v>
      </c>
      <c r="AW278" s="15">
        <f t="shared" si="234"/>
        <v>0</v>
      </c>
      <c r="AX278" s="15">
        <f t="shared" si="222"/>
        <v>0</v>
      </c>
      <c r="AY278" s="15">
        <f>AI278+AQ278+AX278</f>
        <v>0</v>
      </c>
      <c r="AZ278" s="15">
        <f>SUM(AG278,AO278,AV278)</f>
        <v>0</v>
      </c>
      <c r="BA278" s="78" t="e">
        <f t="shared" si="246"/>
        <v>#DIV/0!</v>
      </c>
      <c r="BD278" s="1"/>
      <c r="BF278" s="15">
        <f t="shared" si="241"/>
        <v>0</v>
      </c>
      <c r="BG278" s="15">
        <f t="shared" si="215"/>
        <v>0</v>
      </c>
      <c r="BH278" s="15">
        <f t="shared" si="216"/>
        <v>0</v>
      </c>
      <c r="BN278" s="15">
        <f t="shared" si="242"/>
        <v>0</v>
      </c>
      <c r="BO278" s="15">
        <f t="shared" si="235"/>
        <v>0</v>
      </c>
      <c r="BP278" s="15">
        <f t="shared" si="217"/>
        <v>0</v>
      </c>
      <c r="BU278" s="15">
        <f t="shared" si="243"/>
        <v>0</v>
      </c>
      <c r="BV278" s="15">
        <f t="shared" si="218"/>
        <v>0</v>
      </c>
      <c r="BW278" s="15">
        <f t="shared" si="219"/>
        <v>0</v>
      </c>
      <c r="BX278" s="15">
        <f t="shared" si="236"/>
        <v>0</v>
      </c>
      <c r="BY278" s="15">
        <f t="shared" si="237"/>
        <v>0</v>
      </c>
      <c r="BZ278" s="1" t="e">
        <f t="shared" si="247"/>
        <v>#DIV/0!</v>
      </c>
      <c r="CA278" s="82"/>
      <c r="CG278" s="15">
        <f>COUNTIF(CB278:CF278,"PR")</f>
        <v>0</v>
      </c>
      <c r="CH278" s="15">
        <f>COUNTIF(CB278:CF278,"AB")</f>
        <v>0</v>
      </c>
      <c r="CI278" s="15">
        <f t="shared" si="220"/>
        <v>0</v>
      </c>
      <c r="CN278" s="15">
        <f>COUNTIF(CJ278:CM278,"PR")</f>
        <v>0</v>
      </c>
      <c r="CO278" s="15">
        <f>COUNTIF(CJ278:CM278,"AB")</f>
        <v>0</v>
      </c>
      <c r="CP278" s="15">
        <f t="shared" si="221"/>
        <v>0</v>
      </c>
      <c r="CU278" s="15">
        <f t="shared" si="244"/>
        <v>0</v>
      </c>
      <c r="CV278" s="15">
        <f t="shared" si="228"/>
        <v>0</v>
      </c>
      <c r="CW278" s="15">
        <f t="shared" si="229"/>
        <v>0</v>
      </c>
      <c r="CX278" s="15">
        <f>CG278+CN278+CU278</f>
        <v>0</v>
      </c>
      <c r="CY278" s="15" t="e">
        <f>SUM(CE278,#REF!,CS278)</f>
        <v>#REF!</v>
      </c>
      <c r="CZ278" s="1" t="e">
        <f t="shared" si="248"/>
        <v>#REF!</v>
      </c>
      <c r="DA278" s="82"/>
    </row>
    <row r="279" spans="1:105">
      <c r="A279" s="68"/>
      <c r="B279" s="14"/>
      <c r="H279" s="15">
        <f t="shared" si="224"/>
        <v>0</v>
      </c>
      <c r="I279" s="18">
        <f t="shared" si="225"/>
        <v>0</v>
      </c>
      <c r="J279" s="15">
        <f t="shared" si="226"/>
        <v>0</v>
      </c>
      <c r="O279" s="15">
        <f t="shared" si="238"/>
        <v>0</v>
      </c>
      <c r="P279" s="18">
        <f t="shared" si="230"/>
        <v>0</v>
      </c>
      <c r="Q279" s="15">
        <f t="shared" si="231"/>
        <v>0</v>
      </c>
      <c r="U279" s="71"/>
      <c r="V279" s="15">
        <f t="shared" si="232"/>
        <v>0</v>
      </c>
      <c r="W279" s="15">
        <f t="shared" si="233"/>
        <v>0</v>
      </c>
      <c r="X279" s="15">
        <f t="shared" si="223"/>
        <v>0</v>
      </c>
      <c r="Y279" s="15">
        <f>J279+Q279+X279</f>
        <v>0</v>
      </c>
      <c r="Z279" s="15">
        <f>SUM(H279,O279,V279)</f>
        <v>0</v>
      </c>
      <c r="AA279" s="78" t="e">
        <f t="shared" si="245"/>
        <v>#DIV/0!</v>
      </c>
      <c r="AB279" s="82"/>
      <c r="AG279" s="15">
        <f t="shared" si="239"/>
        <v>0</v>
      </c>
      <c r="AH279" s="15">
        <f t="shared" si="211"/>
        <v>0</v>
      </c>
      <c r="AI279" s="15">
        <f t="shared" si="212"/>
        <v>0</v>
      </c>
      <c r="AO279" s="15">
        <f t="shared" si="240"/>
        <v>0</v>
      </c>
      <c r="AP279" s="15">
        <f t="shared" si="213"/>
        <v>0</v>
      </c>
      <c r="AQ279" s="15">
        <f t="shared" si="214"/>
        <v>0</v>
      </c>
      <c r="AV279" s="15">
        <f>COUNTIF(AR279:AU279,"PR")</f>
        <v>0</v>
      </c>
      <c r="AW279" s="15">
        <f t="shared" si="234"/>
        <v>0</v>
      </c>
      <c r="AX279" s="15">
        <f t="shared" si="222"/>
        <v>0</v>
      </c>
      <c r="AY279" s="15">
        <f>AI279+AQ279+AX279</f>
        <v>0</v>
      </c>
      <c r="AZ279" s="15">
        <f>SUM(AG279,AO279,AV279)</f>
        <v>0</v>
      </c>
      <c r="BA279" s="78" t="e">
        <f t="shared" si="246"/>
        <v>#DIV/0!</v>
      </c>
      <c r="BD279" s="1"/>
      <c r="BF279" s="15">
        <f t="shared" si="241"/>
        <v>0</v>
      </c>
      <c r="BG279" s="15">
        <f t="shared" si="215"/>
        <v>0</v>
      </c>
      <c r="BH279" s="15">
        <f t="shared" si="216"/>
        <v>0</v>
      </c>
      <c r="BN279" s="15">
        <f t="shared" si="242"/>
        <v>0</v>
      </c>
      <c r="BO279" s="15">
        <f t="shared" si="235"/>
        <v>0</v>
      </c>
      <c r="BP279" s="15">
        <f t="shared" si="217"/>
        <v>0</v>
      </c>
      <c r="BU279" s="15">
        <f t="shared" si="243"/>
        <v>0</v>
      </c>
      <c r="BV279" s="15">
        <f t="shared" si="218"/>
        <v>0</v>
      </c>
      <c r="BW279" s="15">
        <f t="shared" si="219"/>
        <v>0</v>
      </c>
      <c r="BX279" s="15">
        <f t="shared" si="236"/>
        <v>0</v>
      </c>
      <c r="BY279" s="15">
        <f t="shared" si="237"/>
        <v>0</v>
      </c>
      <c r="BZ279" s="1" t="e">
        <f t="shared" si="247"/>
        <v>#DIV/0!</v>
      </c>
      <c r="CA279" s="82"/>
      <c r="CG279" s="15">
        <f>COUNTIF(CB279:CF279,"PR")</f>
        <v>0</v>
      </c>
      <c r="CH279" s="15">
        <f>COUNTIF(CB279:CF279,"AB")</f>
        <v>0</v>
      </c>
      <c r="CI279" s="15">
        <f t="shared" si="220"/>
        <v>0</v>
      </c>
      <c r="CN279" s="15">
        <f>COUNTIF(CJ279:CM279,"PR")</f>
        <v>0</v>
      </c>
      <c r="CO279" s="15">
        <f>COUNTIF(CJ279:CM279,"AB")</f>
        <v>0</v>
      </c>
      <c r="CP279" s="15">
        <f t="shared" si="221"/>
        <v>0</v>
      </c>
      <c r="CU279" s="15">
        <f t="shared" si="244"/>
        <v>0</v>
      </c>
      <c r="CV279" s="15">
        <f t="shared" si="228"/>
        <v>0</v>
      </c>
      <c r="CW279" s="15">
        <f t="shared" si="229"/>
        <v>0</v>
      </c>
      <c r="CX279" s="15">
        <f>CG279+CN279+CU279</f>
        <v>0</v>
      </c>
      <c r="CY279" s="15" t="e">
        <f>SUM(CE279,#REF!,CS279)</f>
        <v>#REF!</v>
      </c>
      <c r="CZ279" s="1" t="e">
        <f t="shared" si="248"/>
        <v>#REF!</v>
      </c>
      <c r="DA279" s="82"/>
    </row>
    <row r="280" spans="1:105">
      <c r="A280" s="68"/>
      <c r="B280" s="14"/>
      <c r="H280" s="15">
        <f t="shared" si="224"/>
        <v>0</v>
      </c>
      <c r="I280" s="18">
        <f t="shared" si="225"/>
        <v>0</v>
      </c>
      <c r="J280" s="15">
        <f t="shared" si="226"/>
        <v>0</v>
      </c>
      <c r="O280" s="15">
        <f t="shared" si="238"/>
        <v>0</v>
      </c>
      <c r="P280" s="18">
        <f t="shared" si="230"/>
        <v>0</v>
      </c>
      <c r="Q280" s="15">
        <f t="shared" si="231"/>
        <v>0</v>
      </c>
      <c r="U280" s="71"/>
      <c r="V280" s="15">
        <f t="shared" si="232"/>
        <v>0</v>
      </c>
      <c r="W280" s="15">
        <f t="shared" si="233"/>
        <v>0</v>
      </c>
      <c r="X280" s="15">
        <f t="shared" si="223"/>
        <v>0</v>
      </c>
      <c r="Y280" s="15">
        <f>J280+Q280+X280</f>
        <v>0</v>
      </c>
      <c r="Z280" s="15">
        <f>SUM(H280,O280,V280)</f>
        <v>0</v>
      </c>
      <c r="AA280" s="78" t="e">
        <f t="shared" si="245"/>
        <v>#DIV/0!</v>
      </c>
      <c r="AB280" s="82"/>
      <c r="AG280" s="15">
        <f t="shared" si="239"/>
        <v>0</v>
      </c>
      <c r="AH280" s="15">
        <f t="shared" si="211"/>
        <v>0</v>
      </c>
      <c r="AI280" s="15">
        <f t="shared" si="212"/>
        <v>0</v>
      </c>
      <c r="AO280" s="15">
        <f t="shared" si="240"/>
        <v>0</v>
      </c>
      <c r="AP280" s="15">
        <f t="shared" si="213"/>
        <v>0</v>
      </c>
      <c r="AQ280" s="15">
        <f t="shared" si="214"/>
        <v>0</v>
      </c>
      <c r="AV280" s="15">
        <f>COUNTIF(AR280:AU280,"PR")</f>
        <v>0</v>
      </c>
      <c r="AW280" s="15">
        <f t="shared" si="234"/>
        <v>0</v>
      </c>
      <c r="AX280" s="15">
        <f t="shared" si="222"/>
        <v>0</v>
      </c>
      <c r="AY280" s="15">
        <f>AI280+AQ280+AX280</f>
        <v>0</v>
      </c>
      <c r="AZ280" s="15">
        <f>SUM(AG280,AO280,AV280)</f>
        <v>0</v>
      </c>
      <c r="BA280" s="78" t="e">
        <f t="shared" si="246"/>
        <v>#DIV/0!</v>
      </c>
      <c r="BD280" s="1"/>
      <c r="BF280" s="15">
        <f t="shared" si="241"/>
        <v>0</v>
      </c>
      <c r="BG280" s="15">
        <f t="shared" si="215"/>
        <v>0</v>
      </c>
      <c r="BH280" s="15">
        <f t="shared" si="216"/>
        <v>0</v>
      </c>
      <c r="BN280" s="15">
        <f t="shared" si="242"/>
        <v>0</v>
      </c>
      <c r="BO280" s="15">
        <f t="shared" si="235"/>
        <v>0</v>
      </c>
      <c r="BP280" s="15">
        <f t="shared" si="217"/>
        <v>0</v>
      </c>
      <c r="BU280" s="15">
        <f t="shared" si="243"/>
        <v>0</v>
      </c>
      <c r="BV280" s="15">
        <f t="shared" si="218"/>
        <v>0</v>
      </c>
      <c r="BW280" s="15">
        <f t="shared" si="219"/>
        <v>0</v>
      </c>
      <c r="BX280" s="15">
        <f t="shared" si="236"/>
        <v>0</v>
      </c>
      <c r="BY280" s="15">
        <f t="shared" si="237"/>
        <v>0</v>
      </c>
      <c r="BZ280" s="1" t="e">
        <f t="shared" si="247"/>
        <v>#DIV/0!</v>
      </c>
      <c r="CA280" s="82"/>
      <c r="CG280" s="15">
        <f>COUNTIF(CB280:CF280,"PR")</f>
        <v>0</v>
      </c>
      <c r="CH280" s="15">
        <f>COUNTIF(CB280:CF280,"AB")</f>
        <v>0</v>
      </c>
      <c r="CI280" s="15">
        <f t="shared" si="220"/>
        <v>0</v>
      </c>
      <c r="CN280" s="15">
        <f>COUNTIF(CJ280:CM280,"PR")</f>
        <v>0</v>
      </c>
      <c r="CO280" s="15">
        <f>COUNTIF(CJ280:CM280,"AB")</f>
        <v>0</v>
      </c>
      <c r="CP280" s="15">
        <f t="shared" si="221"/>
        <v>0</v>
      </c>
      <c r="CU280" s="15">
        <f t="shared" si="244"/>
        <v>0</v>
      </c>
      <c r="CV280" s="15">
        <f t="shared" si="228"/>
        <v>0</v>
      </c>
      <c r="CW280" s="15">
        <f t="shared" si="229"/>
        <v>0</v>
      </c>
      <c r="CX280" s="15">
        <f>CG280+CN280+CU280</f>
        <v>0</v>
      </c>
      <c r="CY280" s="15" t="e">
        <f>SUM(CE280,#REF!,CS280)</f>
        <v>#REF!</v>
      </c>
      <c r="CZ280" s="1" t="e">
        <f t="shared" si="248"/>
        <v>#REF!</v>
      </c>
      <c r="DA280" s="82"/>
    </row>
    <row r="281" spans="1:105">
      <c r="A281" s="68"/>
      <c r="B281" s="14"/>
      <c r="H281" s="15">
        <f t="shared" si="224"/>
        <v>0</v>
      </c>
      <c r="I281" s="18">
        <f t="shared" si="225"/>
        <v>0</v>
      </c>
      <c r="J281" s="15">
        <f t="shared" si="226"/>
        <v>0</v>
      </c>
      <c r="O281" s="15">
        <f t="shared" si="238"/>
        <v>0</v>
      </c>
      <c r="P281" s="18">
        <f t="shared" si="230"/>
        <v>0</v>
      </c>
      <c r="Q281" s="15">
        <f t="shared" si="231"/>
        <v>0</v>
      </c>
      <c r="U281" s="71"/>
      <c r="V281" s="15">
        <f t="shared" si="232"/>
        <v>0</v>
      </c>
      <c r="W281" s="15">
        <f t="shared" si="233"/>
        <v>0</v>
      </c>
      <c r="X281" s="15">
        <f t="shared" si="223"/>
        <v>0</v>
      </c>
      <c r="Y281" s="15">
        <f>J281+Q281+X281</f>
        <v>0</v>
      </c>
      <c r="Z281" s="15">
        <f>SUM(H281,O281,V281)</f>
        <v>0</v>
      </c>
      <c r="AA281" s="78" t="e">
        <f t="shared" si="245"/>
        <v>#DIV/0!</v>
      </c>
      <c r="AB281" s="82"/>
      <c r="AG281" s="15">
        <f t="shared" si="239"/>
        <v>0</v>
      </c>
      <c r="AH281" s="15">
        <f t="shared" si="211"/>
        <v>0</v>
      </c>
      <c r="AI281" s="15">
        <f t="shared" si="212"/>
        <v>0</v>
      </c>
      <c r="AO281" s="15">
        <f t="shared" si="240"/>
        <v>0</v>
      </c>
      <c r="AP281" s="15">
        <f t="shared" si="213"/>
        <v>0</v>
      </c>
      <c r="AQ281" s="15">
        <f t="shared" si="214"/>
        <v>0</v>
      </c>
      <c r="AV281" s="15">
        <f>COUNTIF(AR281:AU281,"PR")</f>
        <v>0</v>
      </c>
      <c r="AW281" s="15">
        <f t="shared" si="234"/>
        <v>0</v>
      </c>
      <c r="AX281" s="15">
        <f t="shared" si="222"/>
        <v>0</v>
      </c>
      <c r="AY281" s="15">
        <f>AI281+AQ281+AX281</f>
        <v>0</v>
      </c>
      <c r="AZ281" s="15">
        <f>SUM(AG281,AO281,AV281)</f>
        <v>0</v>
      </c>
      <c r="BA281" s="78" t="e">
        <f t="shared" si="246"/>
        <v>#DIV/0!</v>
      </c>
      <c r="BD281" s="1"/>
      <c r="BF281" s="15">
        <f t="shared" si="241"/>
        <v>0</v>
      </c>
      <c r="BG281" s="15">
        <f t="shared" si="215"/>
        <v>0</v>
      </c>
      <c r="BH281" s="15">
        <f t="shared" si="216"/>
        <v>0</v>
      </c>
      <c r="BN281" s="15">
        <f t="shared" si="242"/>
        <v>0</v>
      </c>
      <c r="BO281" s="15">
        <f t="shared" si="235"/>
        <v>0</v>
      </c>
      <c r="BP281" s="15">
        <f t="shared" si="217"/>
        <v>0</v>
      </c>
      <c r="BU281" s="15">
        <f t="shared" si="243"/>
        <v>0</v>
      </c>
      <c r="BV281" s="15">
        <f t="shared" si="218"/>
        <v>0</v>
      </c>
      <c r="BW281" s="15">
        <f t="shared" si="219"/>
        <v>0</v>
      </c>
      <c r="BX281" s="15">
        <f t="shared" si="236"/>
        <v>0</v>
      </c>
      <c r="BY281" s="15">
        <f t="shared" si="237"/>
        <v>0</v>
      </c>
      <c r="BZ281" s="1" t="e">
        <f t="shared" si="247"/>
        <v>#DIV/0!</v>
      </c>
      <c r="CA281" s="82"/>
      <c r="CG281" s="15">
        <f>COUNTIF(CB281:CF281,"PR")</f>
        <v>0</v>
      </c>
      <c r="CH281" s="15">
        <f>COUNTIF(CB281:CF281,"AB")</f>
        <v>0</v>
      </c>
      <c r="CI281" s="15">
        <f t="shared" si="220"/>
        <v>0</v>
      </c>
      <c r="CN281" s="15">
        <f>COUNTIF(CJ281:CM281,"PR")</f>
        <v>0</v>
      </c>
      <c r="CO281" s="15">
        <f>COUNTIF(CJ281:CM281,"AB")</f>
        <v>0</v>
      </c>
      <c r="CP281" s="15">
        <f t="shared" si="221"/>
        <v>0</v>
      </c>
      <c r="CU281" s="15">
        <f t="shared" si="244"/>
        <v>0</v>
      </c>
      <c r="CV281" s="15">
        <f t="shared" si="228"/>
        <v>0</v>
      </c>
      <c r="CW281" s="15">
        <f t="shared" si="229"/>
        <v>0</v>
      </c>
      <c r="CX281" s="15">
        <f>CG281+CN281+CU281</f>
        <v>0</v>
      </c>
      <c r="CY281" s="15" t="e">
        <f>SUM(CE281,#REF!,CS281)</f>
        <v>#REF!</v>
      </c>
      <c r="CZ281" s="1" t="e">
        <f t="shared" si="248"/>
        <v>#REF!</v>
      </c>
      <c r="DA281" s="82"/>
    </row>
    <row r="282" spans="1:105">
      <c r="A282" s="68"/>
      <c r="B282" s="14"/>
      <c r="H282" s="15">
        <f t="shared" si="224"/>
        <v>0</v>
      </c>
      <c r="I282" s="18">
        <f t="shared" si="225"/>
        <v>0</v>
      </c>
      <c r="J282" s="15">
        <f t="shared" si="226"/>
        <v>0</v>
      </c>
      <c r="O282" s="15">
        <f t="shared" si="238"/>
        <v>0</v>
      </c>
      <c r="P282" s="18">
        <f t="shared" si="230"/>
        <v>0</v>
      </c>
      <c r="Q282" s="15">
        <f t="shared" si="231"/>
        <v>0</v>
      </c>
      <c r="U282" s="71"/>
      <c r="V282" s="15">
        <f t="shared" si="232"/>
        <v>0</v>
      </c>
      <c r="W282" s="15">
        <f t="shared" si="233"/>
        <v>0</v>
      </c>
      <c r="X282" s="15">
        <f t="shared" si="223"/>
        <v>0</v>
      </c>
      <c r="Y282" s="15">
        <f>J282+Q282+X282</f>
        <v>0</v>
      </c>
      <c r="Z282" s="15">
        <f>SUM(H282,O282,V282)</f>
        <v>0</v>
      </c>
      <c r="AA282" s="78" t="e">
        <f t="shared" si="245"/>
        <v>#DIV/0!</v>
      </c>
      <c r="AB282" s="82"/>
      <c r="AG282" s="15">
        <f t="shared" si="239"/>
        <v>0</v>
      </c>
      <c r="AH282" s="15">
        <f t="shared" si="211"/>
        <v>0</v>
      </c>
      <c r="AI282" s="15">
        <f t="shared" si="212"/>
        <v>0</v>
      </c>
      <c r="AO282" s="15">
        <f t="shared" si="240"/>
        <v>0</v>
      </c>
      <c r="AP282" s="15">
        <f t="shared" si="213"/>
        <v>0</v>
      </c>
      <c r="AQ282" s="15">
        <f t="shared" si="214"/>
        <v>0</v>
      </c>
      <c r="AV282" s="15">
        <f>COUNTIF(AR282:AU282,"PR")</f>
        <v>0</v>
      </c>
      <c r="AW282" s="15">
        <f t="shared" si="234"/>
        <v>0</v>
      </c>
      <c r="AX282" s="15">
        <f t="shared" si="222"/>
        <v>0</v>
      </c>
      <c r="AY282" s="15">
        <f>AI282+AQ282+AX282</f>
        <v>0</v>
      </c>
      <c r="AZ282" s="15">
        <f>SUM(AG282,AO282,AV282)</f>
        <v>0</v>
      </c>
      <c r="BA282" s="78" t="e">
        <f t="shared" si="246"/>
        <v>#DIV/0!</v>
      </c>
      <c r="BD282" s="1"/>
      <c r="BF282" s="15">
        <f t="shared" si="241"/>
        <v>0</v>
      </c>
      <c r="BG282" s="15">
        <f t="shared" si="215"/>
        <v>0</v>
      </c>
      <c r="BH282" s="15">
        <f t="shared" si="216"/>
        <v>0</v>
      </c>
      <c r="BN282" s="15">
        <f t="shared" si="242"/>
        <v>0</v>
      </c>
      <c r="BO282" s="15">
        <f t="shared" si="235"/>
        <v>0</v>
      </c>
      <c r="BP282" s="15">
        <f t="shared" si="217"/>
        <v>0</v>
      </c>
      <c r="BU282" s="15">
        <f t="shared" si="243"/>
        <v>0</v>
      </c>
      <c r="BV282" s="15">
        <f t="shared" si="218"/>
        <v>0</v>
      </c>
      <c r="BW282" s="15">
        <f t="shared" si="219"/>
        <v>0</v>
      </c>
      <c r="BX282" s="15">
        <f t="shared" si="236"/>
        <v>0</v>
      </c>
      <c r="BY282" s="15">
        <f t="shared" si="237"/>
        <v>0</v>
      </c>
      <c r="BZ282" s="1" t="e">
        <f t="shared" si="247"/>
        <v>#DIV/0!</v>
      </c>
      <c r="CA282" s="82"/>
      <c r="CG282" s="15">
        <f>COUNTIF(CB282:CF282,"PR")</f>
        <v>0</v>
      </c>
      <c r="CH282" s="15">
        <f>COUNTIF(CB282:CF282,"AB")</f>
        <v>0</v>
      </c>
      <c r="CI282" s="15">
        <f t="shared" si="220"/>
        <v>0</v>
      </c>
      <c r="CN282" s="15">
        <f>COUNTIF(CJ282:CM282,"PR")</f>
        <v>0</v>
      </c>
      <c r="CO282" s="15">
        <f>COUNTIF(CJ282:CM282,"AB")</f>
        <v>0</v>
      </c>
      <c r="CP282" s="15">
        <f t="shared" si="221"/>
        <v>0</v>
      </c>
      <c r="CU282" s="15">
        <f t="shared" si="244"/>
        <v>0</v>
      </c>
      <c r="CV282" s="15">
        <f t="shared" si="228"/>
        <v>0</v>
      </c>
      <c r="CW282" s="15">
        <f t="shared" si="229"/>
        <v>0</v>
      </c>
      <c r="CX282" s="15">
        <f>CG282+CN282+CU282</f>
        <v>0</v>
      </c>
      <c r="CY282" s="15" t="e">
        <f>SUM(CE282,#REF!,CS282)</f>
        <v>#REF!</v>
      </c>
      <c r="CZ282" s="1" t="e">
        <f t="shared" si="248"/>
        <v>#REF!</v>
      </c>
      <c r="DA282" s="82"/>
    </row>
    <row r="283" spans="1:105">
      <c r="A283" s="68"/>
      <c r="B283" s="14"/>
      <c r="H283" s="15">
        <f t="shared" si="224"/>
        <v>0</v>
      </c>
      <c r="I283" s="18">
        <f t="shared" si="225"/>
        <v>0</v>
      </c>
      <c r="J283" s="15">
        <f t="shared" si="226"/>
        <v>0</v>
      </c>
      <c r="O283" s="15">
        <f t="shared" si="238"/>
        <v>0</v>
      </c>
      <c r="P283" s="18">
        <f t="shared" si="230"/>
        <v>0</v>
      </c>
      <c r="Q283" s="15">
        <f t="shared" si="231"/>
        <v>0</v>
      </c>
      <c r="U283" s="71"/>
      <c r="V283" s="15">
        <f t="shared" si="232"/>
        <v>0</v>
      </c>
      <c r="W283" s="15">
        <f t="shared" si="233"/>
        <v>0</v>
      </c>
      <c r="X283" s="15">
        <f t="shared" si="223"/>
        <v>0</v>
      </c>
      <c r="Y283" s="15">
        <f>J283+Q283+X283</f>
        <v>0</v>
      </c>
      <c r="Z283" s="15">
        <f>SUM(H283,O283,V283)</f>
        <v>0</v>
      </c>
      <c r="AA283" s="78" t="e">
        <f t="shared" si="245"/>
        <v>#DIV/0!</v>
      </c>
      <c r="AB283" s="82"/>
      <c r="AG283" s="15">
        <f t="shared" si="239"/>
        <v>0</v>
      </c>
      <c r="AH283" s="15">
        <f t="shared" si="211"/>
        <v>0</v>
      </c>
      <c r="AI283" s="15">
        <f t="shared" si="212"/>
        <v>0</v>
      </c>
      <c r="AO283" s="15">
        <f t="shared" si="240"/>
        <v>0</v>
      </c>
      <c r="AP283" s="15">
        <f t="shared" si="213"/>
        <v>0</v>
      </c>
      <c r="AQ283" s="15">
        <f t="shared" si="214"/>
        <v>0</v>
      </c>
      <c r="AV283" s="15">
        <f>COUNTIF(AR283:AU283,"PR")</f>
        <v>0</v>
      </c>
      <c r="AW283" s="15">
        <f t="shared" si="234"/>
        <v>0</v>
      </c>
      <c r="AX283" s="15">
        <f t="shared" si="222"/>
        <v>0</v>
      </c>
      <c r="AY283" s="15">
        <f>AI283+AQ283+AX283</f>
        <v>0</v>
      </c>
      <c r="AZ283" s="15">
        <f>SUM(AG283,AO283,AV283)</f>
        <v>0</v>
      </c>
      <c r="BA283" s="78" t="e">
        <f t="shared" si="246"/>
        <v>#DIV/0!</v>
      </c>
      <c r="BD283" s="1"/>
      <c r="BF283" s="15">
        <f t="shared" si="241"/>
        <v>0</v>
      </c>
      <c r="BG283" s="15">
        <f t="shared" si="215"/>
        <v>0</v>
      </c>
      <c r="BH283" s="15">
        <f t="shared" si="216"/>
        <v>0</v>
      </c>
      <c r="BN283" s="15">
        <f t="shared" si="242"/>
        <v>0</v>
      </c>
      <c r="BO283" s="15">
        <f t="shared" si="235"/>
        <v>0</v>
      </c>
      <c r="BP283" s="15">
        <f t="shared" si="217"/>
        <v>0</v>
      </c>
      <c r="BU283" s="15">
        <f t="shared" si="243"/>
        <v>0</v>
      </c>
      <c r="BV283" s="15">
        <f t="shared" si="218"/>
        <v>0</v>
      </c>
      <c r="BW283" s="15">
        <f t="shared" si="219"/>
        <v>0</v>
      </c>
      <c r="BX283" s="15">
        <f t="shared" si="236"/>
        <v>0</v>
      </c>
      <c r="BY283" s="15">
        <f t="shared" si="237"/>
        <v>0</v>
      </c>
      <c r="BZ283" s="1" t="e">
        <f t="shared" si="247"/>
        <v>#DIV/0!</v>
      </c>
      <c r="CA283" s="82"/>
      <c r="CG283" s="15">
        <f>COUNTIF(CB283:CF283,"PR")</f>
        <v>0</v>
      </c>
      <c r="CH283" s="15">
        <f>COUNTIF(CB283:CF283,"AB")</f>
        <v>0</v>
      </c>
      <c r="CI283" s="15">
        <f t="shared" si="220"/>
        <v>0</v>
      </c>
      <c r="CN283" s="15">
        <f>COUNTIF(CJ283:CM283,"PR")</f>
        <v>0</v>
      </c>
      <c r="CO283" s="15">
        <f>COUNTIF(CJ283:CM283,"AB")</f>
        <v>0</v>
      </c>
      <c r="CP283" s="15">
        <f t="shared" si="221"/>
        <v>0</v>
      </c>
      <c r="CU283" s="15">
        <f t="shared" si="244"/>
        <v>0</v>
      </c>
      <c r="CV283" s="15">
        <f t="shared" si="228"/>
        <v>0</v>
      </c>
      <c r="CW283" s="15">
        <f t="shared" si="229"/>
        <v>0</v>
      </c>
      <c r="CX283" s="15">
        <f>CG283+CN283+CU283</f>
        <v>0</v>
      </c>
      <c r="CY283" s="15" t="e">
        <f>SUM(CE283,#REF!,CS283)</f>
        <v>#REF!</v>
      </c>
      <c r="CZ283" s="1" t="e">
        <f t="shared" si="248"/>
        <v>#REF!</v>
      </c>
      <c r="DA283" s="82"/>
    </row>
    <row r="284" spans="1:105">
      <c r="A284" s="68"/>
      <c r="B284" s="14"/>
      <c r="H284" s="15">
        <f t="shared" si="224"/>
        <v>0</v>
      </c>
      <c r="I284" s="18">
        <f t="shared" si="225"/>
        <v>0</v>
      </c>
      <c r="J284" s="15">
        <f t="shared" si="226"/>
        <v>0</v>
      </c>
      <c r="O284" s="15">
        <f t="shared" si="238"/>
        <v>0</v>
      </c>
      <c r="P284" s="18">
        <f t="shared" si="230"/>
        <v>0</v>
      </c>
      <c r="Q284" s="15">
        <f t="shared" si="231"/>
        <v>0</v>
      </c>
      <c r="U284" s="71"/>
      <c r="V284" s="15">
        <f t="shared" si="232"/>
        <v>0</v>
      </c>
      <c r="W284" s="15">
        <f t="shared" si="233"/>
        <v>0</v>
      </c>
      <c r="X284" s="15">
        <f t="shared" si="223"/>
        <v>0</v>
      </c>
      <c r="Y284" s="15">
        <f>J284+Q284+X284</f>
        <v>0</v>
      </c>
      <c r="Z284" s="15">
        <f>SUM(H284,O284,V284)</f>
        <v>0</v>
      </c>
      <c r="AA284" s="78" t="e">
        <f t="shared" si="245"/>
        <v>#DIV/0!</v>
      </c>
      <c r="AB284" s="82"/>
      <c r="AG284" s="15">
        <f t="shared" si="239"/>
        <v>0</v>
      </c>
      <c r="AH284" s="15">
        <f t="shared" si="211"/>
        <v>0</v>
      </c>
      <c r="AI284" s="15">
        <f t="shared" si="212"/>
        <v>0</v>
      </c>
      <c r="AO284" s="15">
        <f t="shared" si="240"/>
        <v>0</v>
      </c>
      <c r="AP284" s="15">
        <f t="shared" si="213"/>
        <v>0</v>
      </c>
      <c r="AQ284" s="15">
        <f t="shared" si="214"/>
        <v>0</v>
      </c>
      <c r="AV284" s="15">
        <f>COUNTIF(AR284:AU284,"PR")</f>
        <v>0</v>
      </c>
      <c r="AW284" s="15">
        <f t="shared" si="234"/>
        <v>0</v>
      </c>
      <c r="AX284" s="15">
        <f t="shared" si="222"/>
        <v>0</v>
      </c>
      <c r="AY284" s="15">
        <f>AI284+AQ284+AX284</f>
        <v>0</v>
      </c>
      <c r="AZ284" s="15">
        <f>SUM(AG284,AO284,AV284)</f>
        <v>0</v>
      </c>
      <c r="BA284" s="78" t="e">
        <f t="shared" si="246"/>
        <v>#DIV/0!</v>
      </c>
      <c r="BD284" s="1"/>
      <c r="BF284" s="15">
        <f t="shared" si="241"/>
        <v>0</v>
      </c>
      <c r="BG284" s="15">
        <f t="shared" si="215"/>
        <v>0</v>
      </c>
      <c r="BH284" s="15">
        <f t="shared" si="216"/>
        <v>0</v>
      </c>
      <c r="BN284" s="15">
        <f t="shared" si="242"/>
        <v>0</v>
      </c>
      <c r="BO284" s="15">
        <f t="shared" si="235"/>
        <v>0</v>
      </c>
      <c r="BP284" s="15">
        <f t="shared" si="217"/>
        <v>0</v>
      </c>
      <c r="BU284" s="15">
        <f t="shared" si="243"/>
        <v>0</v>
      </c>
      <c r="BV284" s="15">
        <f t="shared" si="218"/>
        <v>0</v>
      </c>
      <c r="BW284" s="15">
        <f t="shared" si="219"/>
        <v>0</v>
      </c>
      <c r="BX284" s="15">
        <f t="shared" si="236"/>
        <v>0</v>
      </c>
      <c r="BY284" s="15">
        <f t="shared" si="237"/>
        <v>0</v>
      </c>
      <c r="BZ284" s="1" t="e">
        <f t="shared" si="247"/>
        <v>#DIV/0!</v>
      </c>
      <c r="CA284" s="82"/>
      <c r="CG284" s="15">
        <f>COUNTIF(CB284:CF284,"PR")</f>
        <v>0</v>
      </c>
      <c r="CH284" s="15">
        <f>COUNTIF(CB284:CF284,"AB")</f>
        <v>0</v>
      </c>
      <c r="CI284" s="15">
        <f t="shared" si="220"/>
        <v>0</v>
      </c>
      <c r="CN284" s="15">
        <f>COUNTIF(CJ284:CM284,"PR")</f>
        <v>0</v>
      </c>
      <c r="CO284" s="15">
        <f>COUNTIF(CJ284:CM284,"AB")</f>
        <v>0</v>
      </c>
      <c r="CP284" s="15">
        <f t="shared" si="221"/>
        <v>0</v>
      </c>
      <c r="CU284" s="15">
        <f t="shared" si="244"/>
        <v>0</v>
      </c>
      <c r="CV284" s="15">
        <f t="shared" si="228"/>
        <v>0</v>
      </c>
      <c r="CW284" s="15">
        <f t="shared" si="229"/>
        <v>0</v>
      </c>
      <c r="CX284" s="15">
        <f>CG284+CN284+CU284</f>
        <v>0</v>
      </c>
      <c r="CY284" s="15" t="e">
        <f>SUM(CE284,#REF!,CS284)</f>
        <v>#REF!</v>
      </c>
      <c r="CZ284" s="1" t="e">
        <f t="shared" si="248"/>
        <v>#REF!</v>
      </c>
      <c r="DA284" s="82"/>
    </row>
    <row r="285" spans="1:105">
      <c r="A285" s="68"/>
      <c r="B285" s="14"/>
      <c r="H285" s="15">
        <f t="shared" si="224"/>
        <v>0</v>
      </c>
      <c r="I285" s="18">
        <f t="shared" si="225"/>
        <v>0</v>
      </c>
      <c r="J285" s="15">
        <f t="shared" si="226"/>
        <v>0</v>
      </c>
      <c r="O285" s="15">
        <f t="shared" si="238"/>
        <v>0</v>
      </c>
      <c r="P285" s="18">
        <f t="shared" si="230"/>
        <v>0</v>
      </c>
      <c r="Q285" s="15">
        <f t="shared" si="231"/>
        <v>0</v>
      </c>
      <c r="U285" s="71"/>
      <c r="V285" s="15">
        <f t="shared" si="232"/>
        <v>0</v>
      </c>
      <c r="W285" s="15">
        <f t="shared" si="233"/>
        <v>0</v>
      </c>
      <c r="X285" s="15">
        <f t="shared" si="223"/>
        <v>0</v>
      </c>
      <c r="Y285" s="15">
        <f>J285+Q285+X285</f>
        <v>0</v>
      </c>
      <c r="Z285" s="15">
        <f>SUM(H285,O285,V285)</f>
        <v>0</v>
      </c>
      <c r="AA285" s="78" t="e">
        <f t="shared" si="245"/>
        <v>#DIV/0!</v>
      </c>
      <c r="AB285" s="82"/>
      <c r="AG285" s="15">
        <f t="shared" si="239"/>
        <v>0</v>
      </c>
      <c r="AH285" s="15">
        <f t="shared" si="211"/>
        <v>0</v>
      </c>
      <c r="AI285" s="15">
        <f t="shared" si="212"/>
        <v>0</v>
      </c>
      <c r="AO285" s="15">
        <f t="shared" si="240"/>
        <v>0</v>
      </c>
      <c r="AP285" s="15">
        <f t="shared" si="213"/>
        <v>0</v>
      </c>
      <c r="AQ285" s="15">
        <f t="shared" si="214"/>
        <v>0</v>
      </c>
      <c r="AV285" s="15">
        <f>COUNTIF(AR285:AU285,"PR")</f>
        <v>0</v>
      </c>
      <c r="AW285" s="15">
        <f t="shared" si="234"/>
        <v>0</v>
      </c>
      <c r="AX285" s="15">
        <f t="shared" si="222"/>
        <v>0</v>
      </c>
      <c r="AY285" s="15">
        <f>AI285+AQ285+AX285</f>
        <v>0</v>
      </c>
      <c r="AZ285" s="15">
        <f>SUM(AG285,AO285,AV285)</f>
        <v>0</v>
      </c>
      <c r="BA285" s="78" t="e">
        <f t="shared" si="246"/>
        <v>#DIV/0!</v>
      </c>
      <c r="BD285" s="1"/>
      <c r="BF285" s="15">
        <f t="shared" si="241"/>
        <v>0</v>
      </c>
      <c r="BG285" s="15">
        <f t="shared" si="215"/>
        <v>0</v>
      </c>
      <c r="BH285" s="15">
        <f t="shared" si="216"/>
        <v>0</v>
      </c>
      <c r="BN285" s="15">
        <f t="shared" si="242"/>
        <v>0</v>
      </c>
      <c r="BO285" s="15">
        <f t="shared" si="235"/>
        <v>0</v>
      </c>
      <c r="BP285" s="15">
        <f t="shared" si="217"/>
        <v>0</v>
      </c>
      <c r="BU285" s="15">
        <f t="shared" si="243"/>
        <v>0</v>
      </c>
      <c r="BV285" s="15">
        <f t="shared" si="218"/>
        <v>0</v>
      </c>
      <c r="BW285" s="15">
        <f t="shared" si="219"/>
        <v>0</v>
      </c>
      <c r="BX285" s="15">
        <f t="shared" si="236"/>
        <v>0</v>
      </c>
      <c r="BY285" s="15">
        <f t="shared" si="237"/>
        <v>0</v>
      </c>
      <c r="BZ285" s="1" t="e">
        <f t="shared" si="247"/>
        <v>#DIV/0!</v>
      </c>
      <c r="CA285" s="82"/>
      <c r="CG285" s="15">
        <f>COUNTIF(CB285:CF285,"PR")</f>
        <v>0</v>
      </c>
      <c r="CH285" s="15">
        <f>COUNTIF(CB285:CF285,"AB")</f>
        <v>0</v>
      </c>
      <c r="CI285" s="15">
        <f t="shared" si="220"/>
        <v>0</v>
      </c>
      <c r="CN285" s="15">
        <f>COUNTIF(CJ285:CM285,"PR")</f>
        <v>0</v>
      </c>
      <c r="CO285" s="15">
        <f>COUNTIF(CJ285:CM285,"AB")</f>
        <v>0</v>
      </c>
      <c r="CP285" s="15">
        <f t="shared" si="221"/>
        <v>0</v>
      </c>
      <c r="CU285" s="15">
        <f t="shared" si="244"/>
        <v>0</v>
      </c>
      <c r="CV285" s="15">
        <f t="shared" si="228"/>
        <v>0</v>
      </c>
      <c r="CW285" s="15">
        <f t="shared" si="229"/>
        <v>0</v>
      </c>
      <c r="CX285" s="15">
        <f>CG285+CN285+CU285</f>
        <v>0</v>
      </c>
      <c r="CY285" s="15" t="e">
        <f>SUM(CE285,#REF!,CS285)</f>
        <v>#REF!</v>
      </c>
      <c r="CZ285" s="1" t="e">
        <f t="shared" si="248"/>
        <v>#REF!</v>
      </c>
      <c r="DA285" s="82"/>
    </row>
    <row r="286" spans="1:105">
      <c r="A286" s="68"/>
      <c r="B286" s="14"/>
      <c r="H286" s="15">
        <f t="shared" si="224"/>
        <v>0</v>
      </c>
      <c r="I286" s="18">
        <f t="shared" si="225"/>
        <v>0</v>
      </c>
      <c r="J286" s="15">
        <f t="shared" si="226"/>
        <v>0</v>
      </c>
      <c r="O286" s="15">
        <f t="shared" si="238"/>
        <v>0</v>
      </c>
      <c r="P286" s="18">
        <f t="shared" si="230"/>
        <v>0</v>
      </c>
      <c r="Q286" s="15">
        <f t="shared" si="231"/>
        <v>0</v>
      </c>
      <c r="U286" s="71"/>
      <c r="V286" s="15">
        <f t="shared" si="232"/>
        <v>0</v>
      </c>
      <c r="W286" s="15">
        <f t="shared" si="233"/>
        <v>0</v>
      </c>
      <c r="X286" s="15">
        <f t="shared" si="223"/>
        <v>0</v>
      </c>
      <c r="Y286" s="15">
        <f>J286+Q286+X286</f>
        <v>0</v>
      </c>
      <c r="Z286" s="15">
        <f>SUM(H286,O286,V286)</f>
        <v>0</v>
      </c>
      <c r="AA286" s="78" t="e">
        <f t="shared" si="245"/>
        <v>#DIV/0!</v>
      </c>
      <c r="AB286" s="82"/>
      <c r="AG286" s="15">
        <f t="shared" si="239"/>
        <v>0</v>
      </c>
      <c r="AH286" s="15">
        <f t="shared" si="211"/>
        <v>0</v>
      </c>
      <c r="AI286" s="15">
        <f t="shared" si="212"/>
        <v>0</v>
      </c>
      <c r="AO286" s="15">
        <f t="shared" si="240"/>
        <v>0</v>
      </c>
      <c r="AP286" s="15">
        <f t="shared" si="213"/>
        <v>0</v>
      </c>
      <c r="AQ286" s="15">
        <f t="shared" si="214"/>
        <v>0</v>
      </c>
      <c r="AV286" s="15">
        <f>COUNTIF(AR286:AU286,"PR")</f>
        <v>0</v>
      </c>
      <c r="AW286" s="15">
        <f t="shared" si="234"/>
        <v>0</v>
      </c>
      <c r="AX286" s="15">
        <f t="shared" si="222"/>
        <v>0</v>
      </c>
      <c r="AY286" s="15">
        <f>AI286+AQ286+AX286</f>
        <v>0</v>
      </c>
      <c r="AZ286" s="15">
        <f>SUM(AG286,AO286,AV286)</f>
        <v>0</v>
      </c>
      <c r="BA286" s="78" t="e">
        <f t="shared" si="246"/>
        <v>#DIV/0!</v>
      </c>
      <c r="BD286" s="1"/>
      <c r="BF286" s="15">
        <f t="shared" si="241"/>
        <v>0</v>
      </c>
      <c r="BG286" s="15">
        <f t="shared" si="215"/>
        <v>0</v>
      </c>
      <c r="BH286" s="15">
        <f t="shared" si="216"/>
        <v>0</v>
      </c>
      <c r="BN286" s="15">
        <f t="shared" si="242"/>
        <v>0</v>
      </c>
      <c r="BO286" s="15">
        <f t="shared" si="235"/>
        <v>0</v>
      </c>
      <c r="BP286" s="15">
        <f t="shared" si="217"/>
        <v>0</v>
      </c>
      <c r="BU286" s="15">
        <f t="shared" si="243"/>
        <v>0</v>
      </c>
      <c r="BV286" s="15">
        <f t="shared" si="218"/>
        <v>0</v>
      </c>
      <c r="BW286" s="15">
        <f t="shared" si="219"/>
        <v>0</v>
      </c>
      <c r="BX286" s="15">
        <f t="shared" si="236"/>
        <v>0</v>
      </c>
      <c r="BY286" s="15">
        <f t="shared" si="237"/>
        <v>0</v>
      </c>
      <c r="BZ286" s="1" t="e">
        <f t="shared" si="247"/>
        <v>#DIV/0!</v>
      </c>
      <c r="CA286" s="82"/>
      <c r="CG286" s="15">
        <f>COUNTIF(CB286:CF286,"PR")</f>
        <v>0</v>
      </c>
      <c r="CH286" s="15">
        <f>COUNTIF(CB286:CF286,"AB")</f>
        <v>0</v>
      </c>
      <c r="CI286" s="15">
        <f t="shared" si="220"/>
        <v>0</v>
      </c>
      <c r="CN286" s="15">
        <f>COUNTIF(CJ286:CM286,"PR")</f>
        <v>0</v>
      </c>
      <c r="CO286" s="15">
        <f>COUNTIF(CJ286:CM286,"AB")</f>
        <v>0</v>
      </c>
      <c r="CP286" s="15">
        <f t="shared" si="221"/>
        <v>0</v>
      </c>
      <c r="CU286" s="15">
        <f t="shared" si="244"/>
        <v>0</v>
      </c>
      <c r="CV286" s="15">
        <f t="shared" si="228"/>
        <v>0</v>
      </c>
      <c r="CW286" s="15">
        <f t="shared" si="229"/>
        <v>0</v>
      </c>
      <c r="CX286" s="15">
        <f>CG286+CN286+CU286</f>
        <v>0</v>
      </c>
      <c r="CY286" s="15" t="e">
        <f>SUM(CE286,#REF!,CS286)</f>
        <v>#REF!</v>
      </c>
      <c r="CZ286" s="1" t="e">
        <f t="shared" si="248"/>
        <v>#REF!</v>
      </c>
      <c r="DA286" s="82"/>
    </row>
    <row r="287" spans="1:105">
      <c r="A287" s="68"/>
      <c r="B287" s="14"/>
      <c r="H287" s="15">
        <f t="shared" si="224"/>
        <v>0</v>
      </c>
      <c r="I287" s="18">
        <f t="shared" si="225"/>
        <v>0</v>
      </c>
      <c r="J287" s="15">
        <f t="shared" si="226"/>
        <v>0</v>
      </c>
      <c r="O287" s="15">
        <f t="shared" si="238"/>
        <v>0</v>
      </c>
      <c r="P287" s="18">
        <f t="shared" si="230"/>
        <v>0</v>
      </c>
      <c r="Q287" s="15">
        <f t="shared" si="231"/>
        <v>0</v>
      </c>
      <c r="U287" s="71"/>
      <c r="V287" s="15">
        <f t="shared" si="232"/>
        <v>0</v>
      </c>
      <c r="W287" s="15">
        <f t="shared" si="233"/>
        <v>0</v>
      </c>
      <c r="X287" s="15">
        <f t="shared" si="223"/>
        <v>0</v>
      </c>
      <c r="Y287" s="15">
        <f>J287+Q287+X287</f>
        <v>0</v>
      </c>
      <c r="Z287" s="15">
        <f>SUM(H287,O287,V287)</f>
        <v>0</v>
      </c>
      <c r="AA287" s="78" t="e">
        <f t="shared" si="245"/>
        <v>#DIV/0!</v>
      </c>
      <c r="AB287" s="82"/>
      <c r="AG287" s="15">
        <f t="shared" si="239"/>
        <v>0</v>
      </c>
      <c r="AH287" s="15">
        <f t="shared" si="211"/>
        <v>0</v>
      </c>
      <c r="AI287" s="15">
        <f t="shared" si="212"/>
        <v>0</v>
      </c>
      <c r="AO287" s="15">
        <f t="shared" si="240"/>
        <v>0</v>
      </c>
      <c r="AP287" s="15">
        <f t="shared" si="213"/>
        <v>0</v>
      </c>
      <c r="AQ287" s="15">
        <f t="shared" si="214"/>
        <v>0</v>
      </c>
      <c r="AV287" s="15">
        <f>COUNTIF(AR287:AU287,"PR")</f>
        <v>0</v>
      </c>
      <c r="AW287" s="15">
        <f t="shared" si="234"/>
        <v>0</v>
      </c>
      <c r="AX287" s="15">
        <f t="shared" si="222"/>
        <v>0</v>
      </c>
      <c r="AY287" s="15">
        <f>AI287+AQ287+AX287</f>
        <v>0</v>
      </c>
      <c r="AZ287" s="15">
        <f>SUM(AG287,AO287,AV287)</f>
        <v>0</v>
      </c>
      <c r="BA287" s="78" t="e">
        <f t="shared" si="246"/>
        <v>#DIV/0!</v>
      </c>
      <c r="BD287" s="1"/>
      <c r="BF287" s="15">
        <f t="shared" si="241"/>
        <v>0</v>
      </c>
      <c r="BG287" s="15">
        <f t="shared" si="215"/>
        <v>0</v>
      </c>
      <c r="BH287" s="15">
        <f t="shared" si="216"/>
        <v>0</v>
      </c>
      <c r="BN287" s="15">
        <f t="shared" si="242"/>
        <v>0</v>
      </c>
      <c r="BO287" s="15">
        <f t="shared" si="235"/>
        <v>0</v>
      </c>
      <c r="BP287" s="15">
        <f t="shared" si="217"/>
        <v>0</v>
      </c>
      <c r="BU287" s="15">
        <f t="shared" si="243"/>
        <v>0</v>
      </c>
      <c r="BV287" s="15">
        <f t="shared" si="218"/>
        <v>0</v>
      </c>
      <c r="BW287" s="15">
        <f t="shared" si="219"/>
        <v>0</v>
      </c>
      <c r="BX287" s="15">
        <f t="shared" si="236"/>
        <v>0</v>
      </c>
      <c r="BY287" s="15">
        <f t="shared" si="237"/>
        <v>0</v>
      </c>
      <c r="BZ287" s="1" t="e">
        <f t="shared" si="247"/>
        <v>#DIV/0!</v>
      </c>
      <c r="CA287" s="82"/>
      <c r="CG287" s="15">
        <f>COUNTIF(CB287:CF287,"PR")</f>
        <v>0</v>
      </c>
      <c r="CH287" s="15">
        <f>COUNTIF(CB287:CF287,"AB")</f>
        <v>0</v>
      </c>
      <c r="CI287" s="15">
        <f t="shared" si="220"/>
        <v>0</v>
      </c>
      <c r="CN287" s="15">
        <f>COUNTIF(CJ287:CM287,"PR")</f>
        <v>0</v>
      </c>
      <c r="CO287" s="15">
        <f>COUNTIF(CJ287:CM287,"AB")</f>
        <v>0</v>
      </c>
      <c r="CP287" s="15">
        <f t="shared" si="221"/>
        <v>0</v>
      </c>
      <c r="CU287" s="15">
        <f t="shared" si="244"/>
        <v>0</v>
      </c>
      <c r="CV287" s="15">
        <f t="shared" si="228"/>
        <v>0</v>
      </c>
      <c r="CW287" s="15">
        <f t="shared" si="229"/>
        <v>0</v>
      </c>
      <c r="CX287" s="15">
        <f>CG287+CN287+CU287</f>
        <v>0</v>
      </c>
      <c r="CY287" s="15" t="e">
        <f>SUM(CE287,#REF!,CS287)</f>
        <v>#REF!</v>
      </c>
      <c r="CZ287" s="1" t="e">
        <f t="shared" si="248"/>
        <v>#REF!</v>
      </c>
      <c r="DA287" s="82"/>
    </row>
    <row r="288" spans="1:105">
      <c r="A288" s="68"/>
      <c r="B288" s="14"/>
      <c r="H288" s="15">
        <f t="shared" si="224"/>
        <v>0</v>
      </c>
      <c r="I288" s="18">
        <f t="shared" si="225"/>
        <v>0</v>
      </c>
      <c r="J288" s="15">
        <f t="shared" si="226"/>
        <v>0</v>
      </c>
      <c r="O288" s="15">
        <f t="shared" si="238"/>
        <v>0</v>
      </c>
      <c r="P288" s="18">
        <f t="shared" si="230"/>
        <v>0</v>
      </c>
      <c r="Q288" s="15">
        <f t="shared" si="231"/>
        <v>0</v>
      </c>
      <c r="U288" s="71"/>
      <c r="V288" s="15">
        <f t="shared" si="232"/>
        <v>0</v>
      </c>
      <c r="W288" s="15">
        <f t="shared" si="233"/>
        <v>0</v>
      </c>
      <c r="X288" s="15">
        <f t="shared" si="223"/>
        <v>0</v>
      </c>
      <c r="Y288" s="15">
        <f>J288+Q288+X288</f>
        <v>0</v>
      </c>
      <c r="Z288" s="15">
        <f>SUM(H288,O288,V288)</f>
        <v>0</v>
      </c>
      <c r="AA288" s="78" t="e">
        <f t="shared" si="245"/>
        <v>#DIV/0!</v>
      </c>
      <c r="AB288" s="82"/>
      <c r="AG288" s="15">
        <f t="shared" si="239"/>
        <v>0</v>
      </c>
      <c r="AH288" s="15">
        <f t="shared" ref="AH288:AH347" si="249">COUNTIF(AC288:AF288,"AB")</f>
        <v>0</v>
      </c>
      <c r="AI288" s="15">
        <f t="shared" ref="AI288:AI347" si="250">AG288+AH288</f>
        <v>0</v>
      </c>
      <c r="AO288" s="15">
        <f t="shared" si="240"/>
        <v>0</v>
      </c>
      <c r="AP288" s="15">
        <f t="shared" ref="AP288:AP347" si="251">COUNTIF(AJ288:AN288,"AB")</f>
        <v>0</v>
      </c>
      <c r="AQ288" s="15">
        <f t="shared" ref="AQ288:AQ347" si="252">AO288+AP288</f>
        <v>0</v>
      </c>
      <c r="AV288" s="15">
        <f>COUNTIF(AR288:AU288,"PR")</f>
        <v>0</v>
      </c>
      <c r="AW288" s="15">
        <f t="shared" si="234"/>
        <v>0</v>
      </c>
      <c r="AX288" s="15">
        <f t="shared" si="222"/>
        <v>0</v>
      </c>
      <c r="AY288" s="15">
        <f>AI288+AQ288+AX288</f>
        <v>0</v>
      </c>
      <c r="AZ288" s="15">
        <f>SUM(AG288,AO288,AV288)</f>
        <v>0</v>
      </c>
      <c r="BA288" s="78" t="e">
        <f t="shared" si="246"/>
        <v>#DIV/0!</v>
      </c>
      <c r="BD288" s="1"/>
      <c r="BF288" s="15">
        <f t="shared" si="241"/>
        <v>0</v>
      </c>
      <c r="BG288" s="15">
        <f t="shared" ref="BG288:BG347" si="253">COUNTIF(BB288:BE288,"AB")</f>
        <v>0</v>
      </c>
      <c r="BH288" s="15">
        <f t="shared" ref="BH288:BH347" si="254">BF288+BG288</f>
        <v>0</v>
      </c>
      <c r="BN288" s="15">
        <f t="shared" si="242"/>
        <v>0</v>
      </c>
      <c r="BO288" s="15">
        <f t="shared" si="235"/>
        <v>0</v>
      </c>
      <c r="BP288" s="15">
        <f t="shared" ref="BP288:BP347" si="255">BN288+BO288</f>
        <v>0</v>
      </c>
      <c r="BU288" s="15">
        <f t="shared" si="243"/>
        <v>0</v>
      </c>
      <c r="BV288" s="15">
        <f t="shared" ref="BV288:BV347" si="256">COUNTIF(BQ288:BT288,"AB")</f>
        <v>0</v>
      </c>
      <c r="BW288" s="15">
        <f t="shared" ref="BW288:BW347" si="257">BU288+BV288</f>
        <v>0</v>
      </c>
      <c r="BX288" s="15">
        <f t="shared" si="236"/>
        <v>0</v>
      </c>
      <c r="BY288" s="15">
        <f t="shared" si="237"/>
        <v>0</v>
      </c>
      <c r="BZ288" s="1" t="e">
        <f t="shared" si="247"/>
        <v>#DIV/0!</v>
      </c>
      <c r="CA288" s="82"/>
      <c r="CG288" s="15">
        <f>COUNTIF(CB288:CF288,"PR")</f>
        <v>0</v>
      </c>
      <c r="CH288" s="15">
        <f>COUNTIF(CB288:CF288,"AB")</f>
        <v>0</v>
      </c>
      <c r="CI288" s="15">
        <f t="shared" ref="CI288:CI347" si="258">CG288+CH288</f>
        <v>0</v>
      </c>
      <c r="CN288" s="15">
        <f>COUNTIF(CJ288:CM288,"PR")</f>
        <v>0</v>
      </c>
      <c r="CO288" s="15">
        <f>COUNTIF(CJ288:CM288,"AB")</f>
        <v>0</v>
      </c>
      <c r="CP288" s="15">
        <f t="shared" ref="CP288:CP350" si="259">CN288+CO288</f>
        <v>0</v>
      </c>
      <c r="CU288" s="15">
        <f t="shared" si="244"/>
        <v>0</v>
      </c>
      <c r="CV288" s="15">
        <f t="shared" si="228"/>
        <v>0</v>
      </c>
      <c r="CW288" s="15">
        <f t="shared" si="229"/>
        <v>0</v>
      </c>
      <c r="CX288" s="15">
        <f>CG288+CN288+CU288</f>
        <v>0</v>
      </c>
      <c r="CY288" s="15" t="e">
        <f>SUM(CE288,#REF!,CS288)</f>
        <v>#REF!</v>
      </c>
      <c r="CZ288" s="1" t="e">
        <f t="shared" si="248"/>
        <v>#REF!</v>
      </c>
      <c r="DA288" s="82"/>
    </row>
    <row r="289" spans="1:105">
      <c r="A289" s="68"/>
      <c r="B289" s="14"/>
      <c r="H289" s="15">
        <f t="shared" si="224"/>
        <v>0</v>
      </c>
      <c r="I289" s="18">
        <f t="shared" si="225"/>
        <v>0</v>
      </c>
      <c r="J289" s="15">
        <f t="shared" si="226"/>
        <v>0</v>
      </c>
      <c r="O289" s="15">
        <f t="shared" si="238"/>
        <v>0</v>
      </c>
      <c r="P289" s="18">
        <f t="shared" si="230"/>
        <v>0</v>
      </c>
      <c r="Q289" s="15">
        <f t="shared" si="231"/>
        <v>0</v>
      </c>
      <c r="U289" s="71"/>
      <c r="V289" s="15">
        <f t="shared" si="232"/>
        <v>0</v>
      </c>
      <c r="W289" s="15">
        <f t="shared" si="233"/>
        <v>0</v>
      </c>
      <c r="X289" s="15">
        <f t="shared" si="223"/>
        <v>0</v>
      </c>
      <c r="Y289" s="15">
        <f>J289+Q289+X289</f>
        <v>0</v>
      </c>
      <c r="Z289" s="15">
        <f>SUM(H289,O289,V289)</f>
        <v>0</v>
      </c>
      <c r="AA289" s="78" t="e">
        <f t="shared" si="245"/>
        <v>#DIV/0!</v>
      </c>
      <c r="AB289" s="82"/>
      <c r="AG289" s="15">
        <f t="shared" si="239"/>
        <v>0</v>
      </c>
      <c r="AH289" s="15">
        <f t="shared" si="249"/>
        <v>0</v>
      </c>
      <c r="AI289" s="15">
        <f t="shared" si="250"/>
        <v>0</v>
      </c>
      <c r="AO289" s="15">
        <f t="shared" si="240"/>
        <v>0</v>
      </c>
      <c r="AP289" s="15">
        <f t="shared" si="251"/>
        <v>0</v>
      </c>
      <c r="AQ289" s="15">
        <f t="shared" si="252"/>
        <v>0</v>
      </c>
      <c r="AV289" s="15">
        <f>COUNTIF(AR289:AU289,"PR")</f>
        <v>0</v>
      </c>
      <c r="AW289" s="15">
        <f t="shared" si="234"/>
        <v>0</v>
      </c>
      <c r="AX289" s="15">
        <f t="shared" ref="AX289:AX347" si="260">AV289+AW289</f>
        <v>0</v>
      </c>
      <c r="AY289" s="15">
        <f>AI289+AQ289+AX289</f>
        <v>0</v>
      </c>
      <c r="AZ289" s="15">
        <f>SUM(AG289,AO289,AV289)</f>
        <v>0</v>
      </c>
      <c r="BA289" s="78" t="e">
        <f t="shared" si="246"/>
        <v>#DIV/0!</v>
      </c>
      <c r="BD289" s="1"/>
      <c r="BF289" s="15">
        <f t="shared" si="241"/>
        <v>0</v>
      </c>
      <c r="BG289" s="15">
        <f t="shared" si="253"/>
        <v>0</v>
      </c>
      <c r="BH289" s="15">
        <f t="shared" si="254"/>
        <v>0</v>
      </c>
      <c r="BN289" s="15">
        <f t="shared" si="242"/>
        <v>0</v>
      </c>
      <c r="BO289" s="15">
        <f t="shared" si="235"/>
        <v>0</v>
      </c>
      <c r="BP289" s="15">
        <f t="shared" si="255"/>
        <v>0</v>
      </c>
      <c r="BU289" s="15">
        <f t="shared" si="243"/>
        <v>0</v>
      </c>
      <c r="BV289" s="15">
        <f t="shared" si="256"/>
        <v>0</v>
      </c>
      <c r="BW289" s="15">
        <f t="shared" si="257"/>
        <v>0</v>
      </c>
      <c r="BX289" s="15">
        <f t="shared" si="236"/>
        <v>0</v>
      </c>
      <c r="BY289" s="15">
        <f t="shared" si="237"/>
        <v>0</v>
      </c>
      <c r="BZ289" s="1" t="e">
        <f t="shared" si="247"/>
        <v>#DIV/0!</v>
      </c>
      <c r="CA289" s="82"/>
      <c r="CG289" s="15">
        <f>COUNTIF(CB289:CF289,"PR")</f>
        <v>0</v>
      </c>
      <c r="CH289" s="15">
        <f>COUNTIF(CB289:CF289,"AB")</f>
        <v>0</v>
      </c>
      <c r="CI289" s="15">
        <f t="shared" si="258"/>
        <v>0</v>
      </c>
      <c r="CN289" s="15">
        <f>COUNTIF(CJ289:CM289,"PR")</f>
        <v>0</v>
      </c>
      <c r="CO289" s="15">
        <f>COUNTIF(CJ289:CM289,"AB")</f>
        <v>0</v>
      </c>
      <c r="CP289" s="15">
        <f t="shared" si="259"/>
        <v>0</v>
      </c>
      <c r="CU289" s="15">
        <f t="shared" si="244"/>
        <v>0</v>
      </c>
      <c r="CV289" s="15">
        <f t="shared" si="228"/>
        <v>0</v>
      </c>
      <c r="CW289" s="15">
        <f t="shared" si="229"/>
        <v>0</v>
      </c>
      <c r="CX289" s="15">
        <f>CG289+CN289+CU289</f>
        <v>0</v>
      </c>
      <c r="CY289" s="15" t="e">
        <f>SUM(CE289,#REF!,CS289)</f>
        <v>#REF!</v>
      </c>
      <c r="CZ289" s="1" t="e">
        <f t="shared" si="248"/>
        <v>#REF!</v>
      </c>
      <c r="DA289" s="82"/>
    </row>
    <row r="290" spans="1:105">
      <c r="A290" s="68"/>
      <c r="B290" s="14"/>
      <c r="H290" s="15">
        <f t="shared" si="224"/>
        <v>0</v>
      </c>
      <c r="I290" s="18">
        <f t="shared" si="225"/>
        <v>0</v>
      </c>
      <c r="J290" s="15">
        <f t="shared" si="226"/>
        <v>0</v>
      </c>
      <c r="O290" s="15">
        <f t="shared" si="238"/>
        <v>0</v>
      </c>
      <c r="P290" s="18">
        <f t="shared" si="230"/>
        <v>0</v>
      </c>
      <c r="Q290" s="15">
        <f t="shared" si="231"/>
        <v>0</v>
      </c>
      <c r="U290" s="71"/>
      <c r="V290" s="15">
        <f t="shared" si="232"/>
        <v>0</v>
      </c>
      <c r="W290" s="15">
        <f t="shared" si="233"/>
        <v>0</v>
      </c>
      <c r="X290" s="15">
        <f t="shared" ref="X290:X347" si="261">V290+W290</f>
        <v>0</v>
      </c>
      <c r="Y290" s="15">
        <f>J290+Q290+X290</f>
        <v>0</v>
      </c>
      <c r="Z290" s="15">
        <f>SUM(H290,O290,V290)</f>
        <v>0</v>
      </c>
      <c r="AA290" s="78" t="e">
        <f t="shared" si="245"/>
        <v>#DIV/0!</v>
      </c>
      <c r="AB290" s="82"/>
      <c r="AG290" s="15">
        <f t="shared" si="239"/>
        <v>0</v>
      </c>
      <c r="AH290" s="15">
        <f t="shared" si="249"/>
        <v>0</v>
      </c>
      <c r="AI290" s="15">
        <f t="shared" si="250"/>
        <v>0</v>
      </c>
      <c r="AO290" s="15">
        <f t="shared" si="240"/>
        <v>0</v>
      </c>
      <c r="AP290" s="15">
        <f t="shared" si="251"/>
        <v>0</v>
      </c>
      <c r="AQ290" s="15">
        <f t="shared" si="252"/>
        <v>0</v>
      </c>
      <c r="AV290" s="15">
        <f>COUNTIF(AR290:AU290,"PR")</f>
        <v>0</v>
      </c>
      <c r="AW290" s="15">
        <f t="shared" si="234"/>
        <v>0</v>
      </c>
      <c r="AX290" s="15">
        <f t="shared" si="260"/>
        <v>0</v>
      </c>
      <c r="AY290" s="15">
        <f>AI290+AQ290+AX290</f>
        <v>0</v>
      </c>
      <c r="AZ290" s="15">
        <f>SUM(AG290,AO290,AV290)</f>
        <v>0</v>
      </c>
      <c r="BA290" s="78" t="e">
        <f t="shared" si="246"/>
        <v>#DIV/0!</v>
      </c>
      <c r="BD290" s="1"/>
      <c r="BF290" s="15">
        <f t="shared" si="241"/>
        <v>0</v>
      </c>
      <c r="BG290" s="15">
        <f t="shared" si="253"/>
        <v>0</v>
      </c>
      <c r="BH290" s="15">
        <f t="shared" si="254"/>
        <v>0</v>
      </c>
      <c r="BN290" s="15">
        <f t="shared" si="242"/>
        <v>0</v>
      </c>
      <c r="BO290" s="15">
        <f t="shared" si="235"/>
        <v>0</v>
      </c>
      <c r="BP290" s="15">
        <f t="shared" si="255"/>
        <v>0</v>
      </c>
      <c r="BU290" s="15">
        <f t="shared" si="243"/>
        <v>0</v>
      </c>
      <c r="BV290" s="15">
        <f t="shared" si="256"/>
        <v>0</v>
      </c>
      <c r="BW290" s="15">
        <f t="shared" si="257"/>
        <v>0</v>
      </c>
      <c r="BX290" s="15">
        <f t="shared" si="236"/>
        <v>0</v>
      </c>
      <c r="BY290" s="15">
        <f t="shared" si="237"/>
        <v>0</v>
      </c>
      <c r="BZ290" s="1" t="e">
        <f t="shared" si="247"/>
        <v>#DIV/0!</v>
      </c>
      <c r="CA290" s="82"/>
      <c r="CG290" s="15">
        <f>COUNTIF(CB290:CF290,"PR")</f>
        <v>0</v>
      </c>
      <c r="CH290" s="15">
        <f>COUNTIF(CB290:CF290,"AB")</f>
        <v>0</v>
      </c>
      <c r="CI290" s="15">
        <f t="shared" si="258"/>
        <v>0</v>
      </c>
      <c r="CN290" s="15">
        <f>COUNTIF(CJ290:CM290,"PR")</f>
        <v>0</v>
      </c>
      <c r="CO290" s="15">
        <f>COUNTIF(CJ290:CM290,"AB")</f>
        <v>0</v>
      </c>
      <c r="CP290" s="15">
        <f t="shared" si="259"/>
        <v>0</v>
      </c>
      <c r="CU290" s="15">
        <f t="shared" si="244"/>
        <v>0</v>
      </c>
      <c r="CV290" s="15">
        <f t="shared" si="228"/>
        <v>0</v>
      </c>
      <c r="CW290" s="15">
        <f t="shared" si="229"/>
        <v>0</v>
      </c>
      <c r="CX290" s="15">
        <f>CG290+CN290+CU290</f>
        <v>0</v>
      </c>
      <c r="CY290" s="15" t="e">
        <f>SUM(CE290,#REF!,CS290)</f>
        <v>#REF!</v>
      </c>
      <c r="CZ290" s="1" t="e">
        <f t="shared" si="248"/>
        <v>#REF!</v>
      </c>
      <c r="DA290" s="82"/>
    </row>
    <row r="291" spans="1:105">
      <c r="A291" s="68"/>
      <c r="B291" s="14"/>
      <c r="H291" s="15">
        <f t="shared" si="224"/>
        <v>0</v>
      </c>
      <c r="I291" s="18">
        <f t="shared" si="225"/>
        <v>0</v>
      </c>
      <c r="J291" s="15">
        <f t="shared" si="226"/>
        <v>0</v>
      </c>
      <c r="O291" s="15">
        <f t="shared" si="238"/>
        <v>0</v>
      </c>
      <c r="P291" s="18">
        <f t="shared" si="230"/>
        <v>0</v>
      </c>
      <c r="Q291" s="15">
        <f t="shared" si="231"/>
        <v>0</v>
      </c>
      <c r="U291" s="71"/>
      <c r="V291" s="15">
        <f t="shared" si="232"/>
        <v>0</v>
      </c>
      <c r="W291" s="15">
        <f t="shared" si="233"/>
        <v>0</v>
      </c>
      <c r="X291" s="15">
        <f t="shared" si="261"/>
        <v>0</v>
      </c>
      <c r="Y291" s="15">
        <f>J291+Q291+X291</f>
        <v>0</v>
      </c>
      <c r="Z291" s="15">
        <f>SUM(H291,O291,V291)</f>
        <v>0</v>
      </c>
      <c r="AA291" s="78" t="e">
        <f t="shared" si="245"/>
        <v>#DIV/0!</v>
      </c>
      <c r="AB291" s="82"/>
      <c r="AG291" s="15">
        <f t="shared" si="239"/>
        <v>0</v>
      </c>
      <c r="AH291" s="15">
        <f t="shared" si="249"/>
        <v>0</v>
      </c>
      <c r="AI291" s="15">
        <f t="shared" si="250"/>
        <v>0</v>
      </c>
      <c r="AO291" s="15">
        <f t="shared" si="240"/>
        <v>0</v>
      </c>
      <c r="AP291" s="15">
        <f t="shared" si="251"/>
        <v>0</v>
      </c>
      <c r="AQ291" s="15">
        <f t="shared" si="252"/>
        <v>0</v>
      </c>
      <c r="AV291" s="15">
        <f>COUNTIF(AR291:AU291,"PR")</f>
        <v>0</v>
      </c>
      <c r="AW291" s="15">
        <f t="shared" si="234"/>
        <v>0</v>
      </c>
      <c r="AX291" s="15">
        <f t="shared" si="260"/>
        <v>0</v>
      </c>
      <c r="AY291" s="15">
        <f>AI291+AQ291+AX291</f>
        <v>0</v>
      </c>
      <c r="AZ291" s="15">
        <f>SUM(AG291,AO291,AV291)</f>
        <v>0</v>
      </c>
      <c r="BA291" s="78" t="e">
        <f t="shared" si="246"/>
        <v>#DIV/0!</v>
      </c>
      <c r="BD291" s="1"/>
      <c r="BF291" s="15">
        <f t="shared" si="241"/>
        <v>0</v>
      </c>
      <c r="BG291" s="15">
        <f t="shared" si="253"/>
        <v>0</v>
      </c>
      <c r="BH291" s="15">
        <f t="shared" si="254"/>
        <v>0</v>
      </c>
      <c r="BN291" s="15">
        <f t="shared" si="242"/>
        <v>0</v>
      </c>
      <c r="BO291" s="15">
        <f t="shared" si="235"/>
        <v>0</v>
      </c>
      <c r="BP291" s="15">
        <f t="shared" si="255"/>
        <v>0</v>
      </c>
      <c r="BU291" s="15">
        <f t="shared" si="243"/>
        <v>0</v>
      </c>
      <c r="BV291" s="15">
        <f t="shared" si="256"/>
        <v>0</v>
      </c>
      <c r="BW291" s="15">
        <f t="shared" si="257"/>
        <v>0</v>
      </c>
      <c r="BX291" s="15">
        <f t="shared" si="236"/>
        <v>0</v>
      </c>
      <c r="BY291" s="15">
        <f t="shared" si="237"/>
        <v>0</v>
      </c>
      <c r="BZ291" s="1" t="e">
        <f t="shared" si="247"/>
        <v>#DIV/0!</v>
      </c>
      <c r="CA291" s="82"/>
      <c r="CG291" s="15">
        <f>COUNTIF(CB291:CF291,"PR")</f>
        <v>0</v>
      </c>
      <c r="CH291" s="15">
        <f>COUNTIF(CB291:CF291,"AB")</f>
        <v>0</v>
      </c>
      <c r="CI291" s="15">
        <f t="shared" si="258"/>
        <v>0</v>
      </c>
      <c r="CN291" s="15">
        <f>COUNTIF(CJ291:CM291,"PR")</f>
        <v>0</v>
      </c>
      <c r="CO291" s="15">
        <f>COUNTIF(CJ291:CM291,"AB")</f>
        <v>0</v>
      </c>
      <c r="CP291" s="15">
        <f t="shared" si="259"/>
        <v>0</v>
      </c>
      <c r="CU291" s="15">
        <f t="shared" si="244"/>
        <v>0</v>
      </c>
      <c r="CV291" s="15">
        <f t="shared" si="228"/>
        <v>0</v>
      </c>
      <c r="CW291" s="15">
        <f t="shared" si="229"/>
        <v>0</v>
      </c>
      <c r="CX291" s="15">
        <f>CG291+CN291+CU291</f>
        <v>0</v>
      </c>
      <c r="CY291" s="15" t="e">
        <f>SUM(CE291,#REF!,CS291)</f>
        <v>#REF!</v>
      </c>
      <c r="CZ291" s="1" t="e">
        <f t="shared" si="248"/>
        <v>#REF!</v>
      </c>
      <c r="DA291" s="82"/>
    </row>
    <row r="292" spans="1:105">
      <c r="A292" s="68"/>
      <c r="B292" s="14"/>
      <c r="H292" s="15">
        <f t="shared" si="224"/>
        <v>0</v>
      </c>
      <c r="I292" s="18">
        <f t="shared" si="225"/>
        <v>0</v>
      </c>
      <c r="J292" s="15">
        <f t="shared" si="226"/>
        <v>0</v>
      </c>
      <c r="O292" s="15">
        <f t="shared" si="238"/>
        <v>0</v>
      </c>
      <c r="P292" s="18">
        <f t="shared" si="230"/>
        <v>0</v>
      </c>
      <c r="Q292" s="15">
        <f t="shared" si="231"/>
        <v>0</v>
      </c>
      <c r="U292" s="71"/>
      <c r="V292" s="15">
        <f t="shared" si="232"/>
        <v>0</v>
      </c>
      <c r="W292" s="15">
        <f t="shared" si="233"/>
        <v>0</v>
      </c>
      <c r="X292" s="15">
        <f t="shared" si="261"/>
        <v>0</v>
      </c>
      <c r="Y292" s="15">
        <f>J292+Q292+X292</f>
        <v>0</v>
      </c>
      <c r="Z292" s="15">
        <f>SUM(H292,O292,V292)</f>
        <v>0</v>
      </c>
      <c r="AA292" s="78" t="e">
        <f t="shared" si="245"/>
        <v>#DIV/0!</v>
      </c>
      <c r="AB292" s="82"/>
      <c r="AG292" s="15">
        <f t="shared" si="239"/>
        <v>0</v>
      </c>
      <c r="AH292" s="15">
        <f t="shared" si="249"/>
        <v>0</v>
      </c>
      <c r="AI292" s="15">
        <f t="shared" si="250"/>
        <v>0</v>
      </c>
      <c r="AO292" s="15">
        <f t="shared" si="240"/>
        <v>0</v>
      </c>
      <c r="AP292" s="15">
        <f t="shared" si="251"/>
        <v>0</v>
      </c>
      <c r="AQ292" s="15">
        <f t="shared" si="252"/>
        <v>0</v>
      </c>
      <c r="AV292" s="15">
        <f>COUNTIF(AR292:AU292,"PR")</f>
        <v>0</v>
      </c>
      <c r="AW292" s="15">
        <f t="shared" si="234"/>
        <v>0</v>
      </c>
      <c r="AX292" s="15">
        <f t="shared" si="260"/>
        <v>0</v>
      </c>
      <c r="AY292" s="15">
        <f>AI292+AQ292+AX292</f>
        <v>0</v>
      </c>
      <c r="AZ292" s="15">
        <f>SUM(AG292,AO292,AV292)</f>
        <v>0</v>
      </c>
      <c r="BA292" s="78" t="e">
        <f t="shared" si="246"/>
        <v>#DIV/0!</v>
      </c>
      <c r="BD292" s="1"/>
      <c r="BF292" s="15">
        <f t="shared" si="241"/>
        <v>0</v>
      </c>
      <c r="BG292" s="15">
        <f t="shared" si="253"/>
        <v>0</v>
      </c>
      <c r="BH292" s="15">
        <f t="shared" si="254"/>
        <v>0</v>
      </c>
      <c r="BN292" s="15">
        <f t="shared" si="242"/>
        <v>0</v>
      </c>
      <c r="BO292" s="15">
        <f t="shared" si="235"/>
        <v>0</v>
      </c>
      <c r="BP292" s="15">
        <f t="shared" si="255"/>
        <v>0</v>
      </c>
      <c r="BU292" s="15">
        <f t="shared" si="243"/>
        <v>0</v>
      </c>
      <c r="BV292" s="15">
        <f t="shared" si="256"/>
        <v>0</v>
      </c>
      <c r="BW292" s="15">
        <f t="shared" si="257"/>
        <v>0</v>
      </c>
      <c r="BX292" s="15">
        <f t="shared" si="236"/>
        <v>0</v>
      </c>
      <c r="BY292" s="15">
        <f t="shared" si="237"/>
        <v>0</v>
      </c>
      <c r="BZ292" s="1" t="e">
        <f t="shared" si="247"/>
        <v>#DIV/0!</v>
      </c>
      <c r="CA292" s="82"/>
      <c r="CG292" s="15">
        <f>COUNTIF(CB292:CF292,"PR")</f>
        <v>0</v>
      </c>
      <c r="CH292" s="15">
        <f>COUNTIF(CB292:CF292,"AB")</f>
        <v>0</v>
      </c>
      <c r="CI292" s="15">
        <f t="shared" si="258"/>
        <v>0</v>
      </c>
      <c r="CN292" s="15">
        <f>COUNTIF(CJ292:CM292,"PR")</f>
        <v>0</v>
      </c>
      <c r="CO292" s="15">
        <f>COUNTIF(CJ292:CM292,"AB")</f>
        <v>0</v>
      </c>
      <c r="CP292" s="15">
        <f t="shared" si="259"/>
        <v>0</v>
      </c>
      <c r="CU292" s="15">
        <f t="shared" si="244"/>
        <v>0</v>
      </c>
      <c r="CV292" s="15">
        <f t="shared" si="228"/>
        <v>0</v>
      </c>
      <c r="CW292" s="15">
        <f t="shared" si="229"/>
        <v>0</v>
      </c>
      <c r="CX292" s="15">
        <f>CG292+CN292+CU292</f>
        <v>0</v>
      </c>
      <c r="CY292" s="15" t="e">
        <f>SUM(CE292,#REF!,CS292)</f>
        <v>#REF!</v>
      </c>
      <c r="CZ292" s="1" t="e">
        <f t="shared" si="248"/>
        <v>#REF!</v>
      </c>
      <c r="DA292" s="82"/>
    </row>
    <row r="293" spans="1:105">
      <c r="A293" s="68"/>
      <c r="B293" s="14"/>
      <c r="H293" s="15">
        <f t="shared" si="224"/>
        <v>0</v>
      </c>
      <c r="I293" s="18">
        <f t="shared" si="225"/>
        <v>0</v>
      </c>
      <c r="J293" s="15">
        <f t="shared" si="226"/>
        <v>0</v>
      </c>
      <c r="O293" s="15">
        <f t="shared" si="238"/>
        <v>0</v>
      </c>
      <c r="P293" s="18">
        <f t="shared" si="230"/>
        <v>0</v>
      </c>
      <c r="Q293" s="15">
        <f t="shared" si="231"/>
        <v>0</v>
      </c>
      <c r="U293" s="71"/>
      <c r="V293" s="15">
        <f t="shared" si="232"/>
        <v>0</v>
      </c>
      <c r="W293" s="15">
        <f t="shared" si="233"/>
        <v>0</v>
      </c>
      <c r="X293" s="15">
        <f t="shared" si="261"/>
        <v>0</v>
      </c>
      <c r="Y293" s="15">
        <f>J293+Q293+X293</f>
        <v>0</v>
      </c>
      <c r="Z293" s="15">
        <f>SUM(H293,O293,V293)</f>
        <v>0</v>
      </c>
      <c r="AA293" s="78" t="e">
        <f t="shared" si="245"/>
        <v>#DIV/0!</v>
      </c>
      <c r="AB293" s="82"/>
      <c r="AG293" s="15">
        <f t="shared" si="239"/>
        <v>0</v>
      </c>
      <c r="AH293" s="15">
        <f t="shared" si="249"/>
        <v>0</v>
      </c>
      <c r="AI293" s="15">
        <f t="shared" si="250"/>
        <v>0</v>
      </c>
      <c r="AO293" s="15">
        <f t="shared" si="240"/>
        <v>0</v>
      </c>
      <c r="AP293" s="15">
        <f t="shared" si="251"/>
        <v>0</v>
      </c>
      <c r="AQ293" s="15">
        <f t="shared" si="252"/>
        <v>0</v>
      </c>
      <c r="AV293" s="15">
        <f>COUNTIF(AR293:AU293,"PR")</f>
        <v>0</v>
      </c>
      <c r="AW293" s="15">
        <f t="shared" si="234"/>
        <v>0</v>
      </c>
      <c r="AX293" s="15">
        <f t="shared" si="260"/>
        <v>0</v>
      </c>
      <c r="AY293" s="15">
        <f>AI293+AQ293+AX293</f>
        <v>0</v>
      </c>
      <c r="AZ293" s="15">
        <f>SUM(AG293,AO293,AV293)</f>
        <v>0</v>
      </c>
      <c r="BA293" s="78" t="e">
        <f t="shared" si="246"/>
        <v>#DIV/0!</v>
      </c>
      <c r="BD293" s="1"/>
      <c r="BF293" s="15">
        <f t="shared" si="241"/>
        <v>0</v>
      </c>
      <c r="BG293" s="15">
        <f t="shared" si="253"/>
        <v>0</v>
      </c>
      <c r="BH293" s="15">
        <f t="shared" si="254"/>
        <v>0</v>
      </c>
      <c r="BN293" s="15">
        <f t="shared" si="242"/>
        <v>0</v>
      </c>
      <c r="BO293" s="15">
        <f t="shared" si="235"/>
        <v>0</v>
      </c>
      <c r="BP293" s="15">
        <f t="shared" si="255"/>
        <v>0</v>
      </c>
      <c r="BU293" s="15">
        <f t="shared" si="243"/>
        <v>0</v>
      </c>
      <c r="BV293" s="15">
        <f t="shared" si="256"/>
        <v>0</v>
      </c>
      <c r="BW293" s="15">
        <f t="shared" si="257"/>
        <v>0</v>
      </c>
      <c r="BX293" s="15">
        <f t="shared" si="236"/>
        <v>0</v>
      </c>
      <c r="BY293" s="15">
        <f t="shared" si="237"/>
        <v>0</v>
      </c>
      <c r="BZ293" s="1" t="e">
        <f t="shared" si="247"/>
        <v>#DIV/0!</v>
      </c>
      <c r="CA293" s="82"/>
      <c r="CG293" s="15">
        <f>COUNTIF(CB293:CF293,"PR")</f>
        <v>0</v>
      </c>
      <c r="CH293" s="15">
        <f>COUNTIF(CB293:CF293,"AB")</f>
        <v>0</v>
      </c>
      <c r="CI293" s="15">
        <f t="shared" si="258"/>
        <v>0</v>
      </c>
      <c r="CN293" s="15">
        <f>COUNTIF(CJ293:CM293,"PR")</f>
        <v>0</v>
      </c>
      <c r="CO293" s="15">
        <f>COUNTIF(CJ293:CM293,"AB")</f>
        <v>0</v>
      </c>
      <c r="CP293" s="15">
        <f t="shared" si="259"/>
        <v>0</v>
      </c>
      <c r="CU293" s="15">
        <f t="shared" si="244"/>
        <v>0</v>
      </c>
      <c r="CV293" s="15">
        <f t="shared" si="228"/>
        <v>0</v>
      </c>
      <c r="CW293" s="15">
        <f t="shared" si="229"/>
        <v>0</v>
      </c>
      <c r="CX293" s="15">
        <f>CG293+CN293+CU293</f>
        <v>0</v>
      </c>
      <c r="CY293" s="15" t="e">
        <f>SUM(CE293,#REF!,CS293)</f>
        <v>#REF!</v>
      </c>
      <c r="CZ293" s="1" t="e">
        <f t="shared" si="248"/>
        <v>#REF!</v>
      </c>
      <c r="DA293" s="82"/>
    </row>
    <row r="294" spans="1:105">
      <c r="A294" s="68"/>
      <c r="B294" s="14"/>
      <c r="H294" s="15">
        <f t="shared" si="224"/>
        <v>0</v>
      </c>
      <c r="I294" s="18">
        <f t="shared" si="225"/>
        <v>0</v>
      </c>
      <c r="J294" s="15">
        <f t="shared" si="226"/>
        <v>0</v>
      </c>
      <c r="O294" s="15">
        <f t="shared" si="238"/>
        <v>0</v>
      </c>
      <c r="P294" s="18">
        <f t="shared" si="230"/>
        <v>0</v>
      </c>
      <c r="Q294" s="15">
        <f t="shared" si="231"/>
        <v>0</v>
      </c>
      <c r="U294" s="71"/>
      <c r="V294" s="15">
        <f t="shared" si="232"/>
        <v>0</v>
      </c>
      <c r="W294" s="15">
        <f t="shared" si="233"/>
        <v>0</v>
      </c>
      <c r="X294" s="15">
        <f t="shared" si="261"/>
        <v>0</v>
      </c>
      <c r="Y294" s="15">
        <f>J294+Q294+X294</f>
        <v>0</v>
      </c>
      <c r="Z294" s="15">
        <f>SUM(H294,O294,V294)</f>
        <v>0</v>
      </c>
      <c r="AA294" s="78" t="e">
        <f t="shared" si="245"/>
        <v>#DIV/0!</v>
      </c>
      <c r="AB294" s="82"/>
      <c r="AG294" s="15">
        <f t="shared" si="239"/>
        <v>0</v>
      </c>
      <c r="AH294" s="15">
        <f t="shared" si="249"/>
        <v>0</v>
      </c>
      <c r="AI294" s="15">
        <f t="shared" si="250"/>
        <v>0</v>
      </c>
      <c r="AO294" s="15">
        <f t="shared" si="240"/>
        <v>0</v>
      </c>
      <c r="AP294" s="15">
        <f t="shared" si="251"/>
        <v>0</v>
      </c>
      <c r="AQ294" s="15">
        <f t="shared" si="252"/>
        <v>0</v>
      </c>
      <c r="AV294" s="15">
        <f>COUNTIF(AR294:AU294,"PR")</f>
        <v>0</v>
      </c>
      <c r="AW294" s="15">
        <f t="shared" si="234"/>
        <v>0</v>
      </c>
      <c r="AX294" s="15">
        <f t="shared" si="260"/>
        <v>0</v>
      </c>
      <c r="AY294" s="15">
        <f>AI294+AQ294+AX294</f>
        <v>0</v>
      </c>
      <c r="AZ294" s="15">
        <f>SUM(AG294,AO294,AV294)</f>
        <v>0</v>
      </c>
      <c r="BA294" s="78" t="e">
        <f t="shared" si="246"/>
        <v>#DIV/0!</v>
      </c>
      <c r="BD294" s="1"/>
      <c r="BF294" s="15">
        <f t="shared" si="241"/>
        <v>0</v>
      </c>
      <c r="BG294" s="15">
        <f t="shared" si="253"/>
        <v>0</v>
      </c>
      <c r="BH294" s="15">
        <f t="shared" si="254"/>
        <v>0</v>
      </c>
      <c r="BN294" s="15">
        <f t="shared" si="242"/>
        <v>0</v>
      </c>
      <c r="BO294" s="15">
        <f t="shared" si="235"/>
        <v>0</v>
      </c>
      <c r="BP294" s="15">
        <f t="shared" si="255"/>
        <v>0</v>
      </c>
      <c r="BU294" s="15">
        <f t="shared" si="243"/>
        <v>0</v>
      </c>
      <c r="BV294" s="15">
        <f t="shared" si="256"/>
        <v>0</v>
      </c>
      <c r="BW294" s="15">
        <f t="shared" si="257"/>
        <v>0</v>
      </c>
      <c r="BX294" s="15">
        <f t="shared" si="236"/>
        <v>0</v>
      </c>
      <c r="BY294" s="15">
        <f t="shared" si="237"/>
        <v>0</v>
      </c>
      <c r="BZ294" s="1" t="e">
        <f t="shared" si="247"/>
        <v>#DIV/0!</v>
      </c>
      <c r="CA294" s="82"/>
      <c r="CG294" s="15">
        <f>COUNTIF(CB294:CF294,"PR")</f>
        <v>0</v>
      </c>
      <c r="CH294" s="15">
        <f>COUNTIF(CB294:CF294,"AB")</f>
        <v>0</v>
      </c>
      <c r="CI294" s="15">
        <f t="shared" si="258"/>
        <v>0</v>
      </c>
      <c r="CN294" s="15">
        <f>COUNTIF(CJ294:CM294,"PR")</f>
        <v>0</v>
      </c>
      <c r="CO294" s="15">
        <f>COUNTIF(CJ294:CM294,"AB")</f>
        <v>0</v>
      </c>
      <c r="CP294" s="15">
        <f t="shared" si="259"/>
        <v>0</v>
      </c>
      <c r="CU294" s="15">
        <f t="shared" si="244"/>
        <v>0</v>
      </c>
      <c r="CV294" s="15">
        <f t="shared" si="228"/>
        <v>0</v>
      </c>
      <c r="CW294" s="15">
        <f t="shared" si="229"/>
        <v>0</v>
      </c>
      <c r="CX294" s="15">
        <f>CG294+CN294+CU294</f>
        <v>0</v>
      </c>
      <c r="CY294" s="15" t="e">
        <f>SUM(CE294,#REF!,CS294)</f>
        <v>#REF!</v>
      </c>
      <c r="CZ294" s="1" t="e">
        <f t="shared" si="248"/>
        <v>#REF!</v>
      </c>
      <c r="DA294" s="82"/>
    </row>
    <row r="295" spans="1:105">
      <c r="A295" s="68"/>
      <c r="B295" s="14"/>
      <c r="H295" s="15">
        <f t="shared" si="224"/>
        <v>0</v>
      </c>
      <c r="I295" s="18">
        <f t="shared" si="225"/>
        <v>0</v>
      </c>
      <c r="J295" s="15">
        <f t="shared" si="226"/>
        <v>0</v>
      </c>
      <c r="O295" s="15">
        <f t="shared" si="238"/>
        <v>0</v>
      </c>
      <c r="P295" s="18">
        <f t="shared" si="230"/>
        <v>0</v>
      </c>
      <c r="Q295" s="15">
        <f t="shared" si="231"/>
        <v>0</v>
      </c>
      <c r="U295" s="71"/>
      <c r="V295" s="15">
        <f t="shared" si="232"/>
        <v>0</v>
      </c>
      <c r="W295" s="15">
        <f t="shared" si="233"/>
        <v>0</v>
      </c>
      <c r="X295" s="15">
        <f t="shared" si="261"/>
        <v>0</v>
      </c>
      <c r="Y295" s="15">
        <f>J295+Q295+X295</f>
        <v>0</v>
      </c>
      <c r="Z295" s="15">
        <f>SUM(H295,O295,V295)</f>
        <v>0</v>
      </c>
      <c r="AA295" s="78" t="e">
        <f t="shared" si="245"/>
        <v>#DIV/0!</v>
      </c>
      <c r="AB295" s="82"/>
      <c r="AG295" s="15">
        <f t="shared" si="239"/>
        <v>0</v>
      </c>
      <c r="AH295" s="15">
        <f t="shared" si="249"/>
        <v>0</v>
      </c>
      <c r="AI295" s="15">
        <f t="shared" si="250"/>
        <v>0</v>
      </c>
      <c r="AO295" s="15">
        <f t="shared" si="240"/>
        <v>0</v>
      </c>
      <c r="AP295" s="15">
        <f t="shared" si="251"/>
        <v>0</v>
      </c>
      <c r="AQ295" s="15">
        <f t="shared" si="252"/>
        <v>0</v>
      </c>
      <c r="AV295" s="15">
        <f>COUNTIF(AR295:AU295,"PR")</f>
        <v>0</v>
      </c>
      <c r="AW295" s="15">
        <f t="shared" si="234"/>
        <v>0</v>
      </c>
      <c r="AX295" s="15">
        <f t="shared" si="260"/>
        <v>0</v>
      </c>
      <c r="AY295" s="15">
        <f>AI295+AQ295+AX295</f>
        <v>0</v>
      </c>
      <c r="AZ295" s="15">
        <f>SUM(AG295,AO295,AV295)</f>
        <v>0</v>
      </c>
      <c r="BA295" s="78" t="e">
        <f t="shared" si="246"/>
        <v>#DIV/0!</v>
      </c>
      <c r="BD295" s="1"/>
      <c r="BF295" s="15">
        <f t="shared" si="241"/>
        <v>0</v>
      </c>
      <c r="BG295" s="15">
        <f t="shared" si="253"/>
        <v>0</v>
      </c>
      <c r="BH295" s="15">
        <f t="shared" si="254"/>
        <v>0</v>
      </c>
      <c r="BN295" s="15">
        <f t="shared" si="242"/>
        <v>0</v>
      </c>
      <c r="BO295" s="15">
        <f t="shared" si="235"/>
        <v>0</v>
      </c>
      <c r="BP295" s="15">
        <f t="shared" si="255"/>
        <v>0</v>
      </c>
      <c r="BU295" s="15">
        <f t="shared" si="243"/>
        <v>0</v>
      </c>
      <c r="BV295" s="15">
        <f t="shared" si="256"/>
        <v>0</v>
      </c>
      <c r="BW295" s="15">
        <f t="shared" si="257"/>
        <v>0</v>
      </c>
      <c r="BX295" s="15">
        <f t="shared" si="236"/>
        <v>0</v>
      </c>
      <c r="BY295" s="15">
        <f t="shared" si="237"/>
        <v>0</v>
      </c>
      <c r="BZ295" s="1" t="e">
        <f t="shared" si="247"/>
        <v>#DIV/0!</v>
      </c>
      <c r="CA295" s="82"/>
      <c r="CG295" s="15">
        <f>COUNTIF(CB295:CF295,"PR")</f>
        <v>0</v>
      </c>
      <c r="CH295" s="15">
        <f>COUNTIF(CB295:CF295,"AB")</f>
        <v>0</v>
      </c>
      <c r="CI295" s="15">
        <f t="shared" si="258"/>
        <v>0</v>
      </c>
      <c r="CN295" s="15">
        <f>COUNTIF(CJ295:CM295,"PR")</f>
        <v>0</v>
      </c>
      <c r="CO295" s="15">
        <f>COUNTIF(CJ295:CM295,"AB")</f>
        <v>0</v>
      </c>
      <c r="CP295" s="15">
        <f t="shared" si="259"/>
        <v>0</v>
      </c>
      <c r="CU295" s="15">
        <f t="shared" si="244"/>
        <v>0</v>
      </c>
      <c r="CV295" s="15">
        <f t="shared" si="228"/>
        <v>0</v>
      </c>
      <c r="CW295" s="15">
        <f t="shared" si="229"/>
        <v>0</v>
      </c>
      <c r="CX295" s="15">
        <f>CG295+CN295+CU295</f>
        <v>0</v>
      </c>
      <c r="CY295" s="15" t="e">
        <f>SUM(CE295,#REF!,CS295)</f>
        <v>#REF!</v>
      </c>
      <c r="CZ295" s="1" t="e">
        <f t="shared" si="248"/>
        <v>#REF!</v>
      </c>
      <c r="DA295" s="82"/>
    </row>
    <row r="296" spans="1:105">
      <c r="A296" s="68"/>
      <c r="B296" s="14"/>
      <c r="H296" s="15">
        <f t="shared" si="224"/>
        <v>0</v>
      </c>
      <c r="I296" s="18">
        <f t="shared" si="225"/>
        <v>0</v>
      </c>
      <c r="J296" s="15">
        <f t="shared" si="226"/>
        <v>0</v>
      </c>
      <c r="O296" s="15">
        <f t="shared" si="238"/>
        <v>0</v>
      </c>
      <c r="P296" s="18">
        <f t="shared" si="230"/>
        <v>0</v>
      </c>
      <c r="Q296" s="15">
        <f t="shared" si="231"/>
        <v>0</v>
      </c>
      <c r="U296" s="71"/>
      <c r="V296" s="15">
        <f t="shared" si="232"/>
        <v>0</v>
      </c>
      <c r="W296" s="15">
        <f t="shared" si="233"/>
        <v>0</v>
      </c>
      <c r="X296" s="15">
        <f t="shared" si="261"/>
        <v>0</v>
      </c>
      <c r="Y296" s="15">
        <f>J296+Q296+X296</f>
        <v>0</v>
      </c>
      <c r="Z296" s="15">
        <f>SUM(H296,O296,V296)</f>
        <v>0</v>
      </c>
      <c r="AA296" s="78" t="e">
        <f t="shared" si="245"/>
        <v>#DIV/0!</v>
      </c>
      <c r="AB296" s="82"/>
      <c r="AG296" s="15">
        <f t="shared" si="239"/>
        <v>0</v>
      </c>
      <c r="AH296" s="15">
        <f t="shared" si="249"/>
        <v>0</v>
      </c>
      <c r="AI296" s="15">
        <f t="shared" si="250"/>
        <v>0</v>
      </c>
      <c r="AO296" s="15">
        <f t="shared" si="240"/>
        <v>0</v>
      </c>
      <c r="AP296" s="15">
        <f t="shared" si="251"/>
        <v>0</v>
      </c>
      <c r="AQ296" s="15">
        <f t="shared" si="252"/>
        <v>0</v>
      </c>
      <c r="AV296" s="15">
        <f>COUNTIF(AR296:AU296,"PR")</f>
        <v>0</v>
      </c>
      <c r="AW296" s="15">
        <f t="shared" si="234"/>
        <v>0</v>
      </c>
      <c r="AX296" s="15">
        <f t="shared" si="260"/>
        <v>0</v>
      </c>
      <c r="AY296" s="15">
        <f>AI296+AQ296+AX296</f>
        <v>0</v>
      </c>
      <c r="AZ296" s="15">
        <f>SUM(AG296,AO296,AV296)</f>
        <v>0</v>
      </c>
      <c r="BA296" s="78" t="e">
        <f t="shared" si="246"/>
        <v>#DIV/0!</v>
      </c>
      <c r="BD296" s="1"/>
      <c r="BF296" s="15">
        <f t="shared" si="241"/>
        <v>0</v>
      </c>
      <c r="BG296" s="15">
        <f t="shared" si="253"/>
        <v>0</v>
      </c>
      <c r="BH296" s="15">
        <f t="shared" si="254"/>
        <v>0</v>
      </c>
      <c r="BN296" s="15">
        <f t="shared" si="242"/>
        <v>0</v>
      </c>
      <c r="BO296" s="15">
        <f t="shared" si="235"/>
        <v>0</v>
      </c>
      <c r="BP296" s="15">
        <f t="shared" si="255"/>
        <v>0</v>
      </c>
      <c r="BU296" s="15">
        <f t="shared" si="243"/>
        <v>0</v>
      </c>
      <c r="BV296" s="15">
        <f t="shared" si="256"/>
        <v>0</v>
      </c>
      <c r="BW296" s="15">
        <f t="shared" si="257"/>
        <v>0</v>
      </c>
      <c r="BX296" s="15">
        <f t="shared" si="236"/>
        <v>0</v>
      </c>
      <c r="BY296" s="15">
        <f t="shared" si="237"/>
        <v>0</v>
      </c>
      <c r="BZ296" s="1" t="e">
        <f t="shared" si="247"/>
        <v>#DIV/0!</v>
      </c>
      <c r="CA296" s="82"/>
      <c r="CG296" s="15">
        <f>COUNTIF(CB296:CF296,"PR")</f>
        <v>0</v>
      </c>
      <c r="CH296" s="15">
        <f>COUNTIF(CB296:CF296,"AB")</f>
        <v>0</v>
      </c>
      <c r="CI296" s="15">
        <f t="shared" si="258"/>
        <v>0</v>
      </c>
      <c r="CN296" s="15">
        <f>COUNTIF(CJ296:CM296,"PR")</f>
        <v>0</v>
      </c>
      <c r="CO296" s="15">
        <f>COUNTIF(CJ296:CM296,"AB")</f>
        <v>0</v>
      </c>
      <c r="CP296" s="15">
        <f t="shared" si="259"/>
        <v>0</v>
      </c>
      <c r="CU296" s="15">
        <f t="shared" si="244"/>
        <v>0</v>
      </c>
      <c r="CV296" s="15">
        <f t="shared" si="228"/>
        <v>0</v>
      </c>
      <c r="CW296" s="15">
        <f t="shared" si="229"/>
        <v>0</v>
      </c>
      <c r="CX296" s="15">
        <f>CG296+CN296+CU296</f>
        <v>0</v>
      </c>
      <c r="CY296" s="15" t="e">
        <f>SUM(CE296,#REF!,CS296)</f>
        <v>#REF!</v>
      </c>
      <c r="CZ296" s="1" t="e">
        <f t="shared" si="248"/>
        <v>#REF!</v>
      </c>
      <c r="DA296" s="82"/>
    </row>
    <row r="297" spans="1:105">
      <c r="A297" s="68"/>
      <c r="B297" s="14"/>
      <c r="H297" s="15">
        <f t="shared" si="224"/>
        <v>0</v>
      </c>
      <c r="I297" s="18">
        <f t="shared" si="225"/>
        <v>0</v>
      </c>
      <c r="J297" s="15">
        <f t="shared" si="226"/>
        <v>0</v>
      </c>
      <c r="O297" s="15">
        <f t="shared" si="238"/>
        <v>0</v>
      </c>
      <c r="P297" s="18">
        <f t="shared" si="230"/>
        <v>0</v>
      </c>
      <c r="Q297" s="15">
        <f t="shared" si="231"/>
        <v>0</v>
      </c>
      <c r="U297" s="71"/>
      <c r="V297" s="15">
        <f t="shared" si="232"/>
        <v>0</v>
      </c>
      <c r="W297" s="15">
        <f t="shared" si="233"/>
        <v>0</v>
      </c>
      <c r="X297" s="15">
        <f t="shared" si="261"/>
        <v>0</v>
      </c>
      <c r="Y297" s="15">
        <f>J297+Q297+X297</f>
        <v>0</v>
      </c>
      <c r="Z297" s="15">
        <f>SUM(H297,O297,V297)</f>
        <v>0</v>
      </c>
      <c r="AA297" s="78" t="e">
        <f t="shared" si="245"/>
        <v>#DIV/0!</v>
      </c>
      <c r="AB297" s="82"/>
      <c r="AG297" s="15">
        <f t="shared" si="239"/>
        <v>0</v>
      </c>
      <c r="AH297" s="15">
        <f t="shared" si="249"/>
        <v>0</v>
      </c>
      <c r="AI297" s="15">
        <f t="shared" si="250"/>
        <v>0</v>
      </c>
      <c r="AO297" s="15">
        <f t="shared" si="240"/>
        <v>0</v>
      </c>
      <c r="AP297" s="15">
        <f t="shared" si="251"/>
        <v>0</v>
      </c>
      <c r="AQ297" s="15">
        <f t="shared" si="252"/>
        <v>0</v>
      </c>
      <c r="AV297" s="15">
        <f>COUNTIF(AR297:AU297,"PR")</f>
        <v>0</v>
      </c>
      <c r="AW297" s="15">
        <f t="shared" si="234"/>
        <v>0</v>
      </c>
      <c r="AX297" s="15">
        <f t="shared" si="260"/>
        <v>0</v>
      </c>
      <c r="AY297" s="15">
        <f>AI297+AQ297+AX297</f>
        <v>0</v>
      </c>
      <c r="AZ297" s="15">
        <f>SUM(AG297,AO297,AV297)</f>
        <v>0</v>
      </c>
      <c r="BA297" s="78" t="e">
        <f t="shared" si="246"/>
        <v>#DIV/0!</v>
      </c>
      <c r="BD297" s="1"/>
      <c r="BF297" s="15">
        <f t="shared" si="241"/>
        <v>0</v>
      </c>
      <c r="BG297" s="15">
        <f t="shared" si="253"/>
        <v>0</v>
      </c>
      <c r="BH297" s="15">
        <f t="shared" si="254"/>
        <v>0</v>
      </c>
      <c r="BN297" s="15">
        <f t="shared" si="242"/>
        <v>0</v>
      </c>
      <c r="BO297" s="15">
        <f t="shared" si="235"/>
        <v>0</v>
      </c>
      <c r="BP297" s="15">
        <f t="shared" si="255"/>
        <v>0</v>
      </c>
      <c r="BU297" s="15">
        <f t="shared" si="243"/>
        <v>0</v>
      </c>
      <c r="BV297" s="15">
        <f t="shared" si="256"/>
        <v>0</v>
      </c>
      <c r="BW297" s="15">
        <f t="shared" si="257"/>
        <v>0</v>
      </c>
      <c r="BX297" s="15">
        <f t="shared" si="236"/>
        <v>0</v>
      </c>
      <c r="BY297" s="15">
        <f t="shared" si="237"/>
        <v>0</v>
      </c>
      <c r="BZ297" s="1" t="e">
        <f t="shared" si="247"/>
        <v>#DIV/0!</v>
      </c>
      <c r="CA297" s="82"/>
      <c r="CG297" s="15">
        <f>COUNTIF(CB297:CF297,"PR")</f>
        <v>0</v>
      </c>
      <c r="CH297" s="15">
        <f>COUNTIF(CB297:CF297,"AB")</f>
        <v>0</v>
      </c>
      <c r="CI297" s="15">
        <f t="shared" si="258"/>
        <v>0</v>
      </c>
      <c r="CN297" s="15">
        <f>COUNTIF(CJ297:CM297,"PR")</f>
        <v>0</v>
      </c>
      <c r="CO297" s="15">
        <f>COUNTIF(CJ297:CM297,"AB")</f>
        <v>0</v>
      </c>
      <c r="CP297" s="15">
        <f t="shared" si="259"/>
        <v>0</v>
      </c>
      <c r="CU297" s="15">
        <f t="shared" si="244"/>
        <v>0</v>
      </c>
      <c r="CV297" s="15">
        <f t="shared" si="228"/>
        <v>0</v>
      </c>
      <c r="CW297" s="15">
        <f t="shared" si="229"/>
        <v>0</v>
      </c>
      <c r="CX297" s="15">
        <f>CG297+CN297+CU297</f>
        <v>0</v>
      </c>
      <c r="CY297" s="15" t="e">
        <f>SUM(CE297,#REF!,CS297)</f>
        <v>#REF!</v>
      </c>
      <c r="CZ297" s="1" t="e">
        <f t="shared" si="248"/>
        <v>#REF!</v>
      </c>
      <c r="DA297" s="82"/>
    </row>
    <row r="298" spans="1:105">
      <c r="A298" s="68"/>
      <c r="B298" s="14"/>
      <c r="H298" s="15">
        <f t="shared" si="224"/>
        <v>0</v>
      </c>
      <c r="I298" s="18">
        <f t="shared" si="225"/>
        <v>0</v>
      </c>
      <c r="J298" s="15">
        <f t="shared" si="226"/>
        <v>0</v>
      </c>
      <c r="O298" s="15">
        <f t="shared" si="238"/>
        <v>0</v>
      </c>
      <c r="P298" s="18">
        <f t="shared" si="230"/>
        <v>0</v>
      </c>
      <c r="Q298" s="15">
        <f t="shared" si="231"/>
        <v>0</v>
      </c>
      <c r="U298" s="71"/>
      <c r="V298" s="15">
        <f t="shared" si="232"/>
        <v>0</v>
      </c>
      <c r="W298" s="15">
        <f t="shared" si="233"/>
        <v>0</v>
      </c>
      <c r="X298" s="15">
        <f t="shared" si="261"/>
        <v>0</v>
      </c>
      <c r="Y298" s="15">
        <f>J298+Q298+X298</f>
        <v>0</v>
      </c>
      <c r="Z298" s="15">
        <f>SUM(H298,O298,V298)</f>
        <v>0</v>
      </c>
      <c r="AA298" s="78" t="e">
        <f t="shared" si="245"/>
        <v>#DIV/0!</v>
      </c>
      <c r="AB298" s="82"/>
      <c r="AG298" s="15">
        <f t="shared" si="239"/>
        <v>0</v>
      </c>
      <c r="AH298" s="15">
        <f t="shared" si="249"/>
        <v>0</v>
      </c>
      <c r="AI298" s="15">
        <f t="shared" si="250"/>
        <v>0</v>
      </c>
      <c r="AO298" s="15">
        <f t="shared" si="240"/>
        <v>0</v>
      </c>
      <c r="AP298" s="15">
        <f t="shared" si="251"/>
        <v>0</v>
      </c>
      <c r="AQ298" s="15">
        <f t="shared" si="252"/>
        <v>0</v>
      </c>
      <c r="AV298" s="15">
        <f>COUNTIF(AR298:AU298,"PR")</f>
        <v>0</v>
      </c>
      <c r="AW298" s="15">
        <f t="shared" si="234"/>
        <v>0</v>
      </c>
      <c r="AX298" s="15">
        <f t="shared" si="260"/>
        <v>0</v>
      </c>
      <c r="AY298" s="15">
        <f>AI298+AQ298+AX298</f>
        <v>0</v>
      </c>
      <c r="AZ298" s="15">
        <f>SUM(AG298,AO298,AV298)</f>
        <v>0</v>
      </c>
      <c r="BA298" s="78" t="e">
        <f t="shared" si="246"/>
        <v>#DIV/0!</v>
      </c>
      <c r="BD298" s="1"/>
      <c r="BF298" s="15">
        <f t="shared" si="241"/>
        <v>0</v>
      </c>
      <c r="BG298" s="15">
        <f t="shared" si="253"/>
        <v>0</v>
      </c>
      <c r="BH298" s="15">
        <f t="shared" si="254"/>
        <v>0</v>
      </c>
      <c r="BN298" s="15">
        <f t="shared" si="242"/>
        <v>0</v>
      </c>
      <c r="BO298" s="15">
        <f t="shared" si="235"/>
        <v>0</v>
      </c>
      <c r="BP298" s="15">
        <f t="shared" si="255"/>
        <v>0</v>
      </c>
      <c r="BU298" s="15">
        <f t="shared" si="243"/>
        <v>0</v>
      </c>
      <c r="BV298" s="15">
        <f t="shared" si="256"/>
        <v>0</v>
      </c>
      <c r="BW298" s="15">
        <f t="shared" si="257"/>
        <v>0</v>
      </c>
      <c r="BX298" s="15">
        <f t="shared" si="236"/>
        <v>0</v>
      </c>
      <c r="BY298" s="15">
        <f t="shared" si="237"/>
        <v>0</v>
      </c>
      <c r="BZ298" s="1" t="e">
        <f t="shared" si="247"/>
        <v>#DIV/0!</v>
      </c>
      <c r="CA298" s="82"/>
      <c r="CG298" s="15">
        <f>COUNTIF(CB298:CF298,"PR")</f>
        <v>0</v>
      </c>
      <c r="CH298" s="15">
        <f>COUNTIF(CB298:CF298,"AB")</f>
        <v>0</v>
      </c>
      <c r="CI298" s="15">
        <f t="shared" si="258"/>
        <v>0</v>
      </c>
      <c r="CN298" s="15">
        <f>COUNTIF(CJ298:CM298,"PR")</f>
        <v>0</v>
      </c>
      <c r="CO298" s="15">
        <f>COUNTIF(CJ298:CM298,"AB")</f>
        <v>0</v>
      </c>
      <c r="CP298" s="15">
        <f t="shared" si="259"/>
        <v>0</v>
      </c>
      <c r="CU298" s="15">
        <f t="shared" si="244"/>
        <v>0</v>
      </c>
      <c r="CV298" s="15">
        <f t="shared" si="228"/>
        <v>0</v>
      </c>
      <c r="CW298" s="15">
        <f t="shared" si="229"/>
        <v>0</v>
      </c>
      <c r="CX298" s="15">
        <f>CG298+CN298+CU298</f>
        <v>0</v>
      </c>
      <c r="CY298" s="15" t="e">
        <f>SUM(CE298,#REF!,CS298)</f>
        <v>#REF!</v>
      </c>
      <c r="CZ298" s="1" t="e">
        <f t="shared" si="248"/>
        <v>#REF!</v>
      </c>
      <c r="DA298" s="82"/>
    </row>
    <row r="299" spans="1:105">
      <c r="A299" s="68"/>
      <c r="B299" s="14"/>
      <c r="H299" s="15">
        <f t="shared" si="224"/>
        <v>0</v>
      </c>
      <c r="I299" s="18">
        <f t="shared" si="225"/>
        <v>0</v>
      </c>
      <c r="J299" s="15">
        <f t="shared" si="226"/>
        <v>0</v>
      </c>
      <c r="O299" s="15">
        <f t="shared" si="238"/>
        <v>0</v>
      </c>
      <c r="P299" s="18">
        <f t="shared" si="230"/>
        <v>0</v>
      </c>
      <c r="Q299" s="15">
        <f t="shared" si="231"/>
        <v>0</v>
      </c>
      <c r="U299" s="71"/>
      <c r="V299" s="15">
        <f t="shared" si="232"/>
        <v>0</v>
      </c>
      <c r="W299" s="15">
        <f t="shared" si="233"/>
        <v>0</v>
      </c>
      <c r="X299" s="15">
        <f t="shared" si="261"/>
        <v>0</v>
      </c>
      <c r="Y299" s="15">
        <f>J299+Q299+X299</f>
        <v>0</v>
      </c>
      <c r="Z299" s="15">
        <f>SUM(H299,O299,V299)</f>
        <v>0</v>
      </c>
      <c r="AA299" s="78" t="e">
        <f t="shared" si="245"/>
        <v>#DIV/0!</v>
      </c>
      <c r="AB299" s="82"/>
      <c r="AG299" s="15">
        <f t="shared" si="239"/>
        <v>0</v>
      </c>
      <c r="AH299" s="15">
        <f t="shared" si="249"/>
        <v>0</v>
      </c>
      <c r="AI299" s="15">
        <f t="shared" si="250"/>
        <v>0</v>
      </c>
      <c r="AO299" s="15">
        <f t="shared" si="240"/>
        <v>0</v>
      </c>
      <c r="AP299" s="15">
        <f t="shared" si="251"/>
        <v>0</v>
      </c>
      <c r="AQ299" s="15">
        <f t="shared" si="252"/>
        <v>0</v>
      </c>
      <c r="AV299" s="15">
        <f>COUNTIF(AR299:AU299,"PR")</f>
        <v>0</v>
      </c>
      <c r="AW299" s="15">
        <f t="shared" si="234"/>
        <v>0</v>
      </c>
      <c r="AX299" s="15">
        <f t="shared" si="260"/>
        <v>0</v>
      </c>
      <c r="AY299" s="15">
        <f>AI299+AQ299+AX299</f>
        <v>0</v>
      </c>
      <c r="AZ299" s="15">
        <f>SUM(AG299,AO299,AV299)</f>
        <v>0</v>
      </c>
      <c r="BA299" s="78" t="e">
        <f t="shared" si="246"/>
        <v>#DIV/0!</v>
      </c>
      <c r="BD299" s="1"/>
      <c r="BF299" s="15">
        <f t="shared" si="241"/>
        <v>0</v>
      </c>
      <c r="BG299" s="15">
        <f t="shared" si="253"/>
        <v>0</v>
      </c>
      <c r="BH299" s="15">
        <f t="shared" si="254"/>
        <v>0</v>
      </c>
      <c r="BN299" s="15">
        <f t="shared" si="242"/>
        <v>0</v>
      </c>
      <c r="BO299" s="15">
        <f t="shared" si="235"/>
        <v>0</v>
      </c>
      <c r="BP299" s="15">
        <f t="shared" si="255"/>
        <v>0</v>
      </c>
      <c r="BU299" s="15">
        <f t="shared" si="243"/>
        <v>0</v>
      </c>
      <c r="BV299" s="15">
        <f t="shared" si="256"/>
        <v>0</v>
      </c>
      <c r="BW299" s="15">
        <f t="shared" si="257"/>
        <v>0</v>
      </c>
      <c r="BX299" s="15">
        <f t="shared" si="236"/>
        <v>0</v>
      </c>
      <c r="BY299" s="15">
        <f t="shared" si="237"/>
        <v>0</v>
      </c>
      <c r="BZ299" s="1" t="e">
        <f t="shared" si="247"/>
        <v>#DIV/0!</v>
      </c>
      <c r="CA299" s="82"/>
      <c r="CG299" s="15">
        <f>COUNTIF(CB299:CF299,"PR")</f>
        <v>0</v>
      </c>
      <c r="CH299" s="15">
        <f>COUNTIF(CB299:CF299,"AB")</f>
        <v>0</v>
      </c>
      <c r="CI299" s="15">
        <f t="shared" si="258"/>
        <v>0</v>
      </c>
      <c r="CN299" s="15">
        <f>COUNTIF(CJ299:CM299,"PR")</f>
        <v>0</v>
      </c>
      <c r="CO299" s="15">
        <f>COUNTIF(CJ299:CM299,"AB")</f>
        <v>0</v>
      </c>
      <c r="CP299" s="15">
        <f t="shared" si="259"/>
        <v>0</v>
      </c>
      <c r="CU299" s="15">
        <f t="shared" si="244"/>
        <v>0</v>
      </c>
      <c r="CV299" s="15">
        <f t="shared" si="228"/>
        <v>0</v>
      </c>
      <c r="CW299" s="15">
        <f t="shared" si="229"/>
        <v>0</v>
      </c>
      <c r="CX299" s="15">
        <f>CG299+CN299+CU299</f>
        <v>0</v>
      </c>
      <c r="CY299" s="15" t="e">
        <f>SUM(CE299,#REF!,CS299)</f>
        <v>#REF!</v>
      </c>
      <c r="CZ299" s="1" t="e">
        <f t="shared" si="248"/>
        <v>#REF!</v>
      </c>
      <c r="DA299" s="82"/>
    </row>
    <row r="300" spans="1:105">
      <c r="A300" s="68"/>
      <c r="B300" s="14"/>
      <c r="H300" s="15">
        <f t="shared" si="224"/>
        <v>0</v>
      </c>
      <c r="I300" s="18">
        <f t="shared" si="225"/>
        <v>0</v>
      </c>
      <c r="J300" s="15">
        <f t="shared" si="226"/>
        <v>0</v>
      </c>
      <c r="O300" s="15">
        <f t="shared" si="238"/>
        <v>0</v>
      </c>
      <c r="P300" s="18">
        <f t="shared" si="230"/>
        <v>0</v>
      </c>
      <c r="Q300" s="15">
        <f t="shared" si="231"/>
        <v>0</v>
      </c>
      <c r="U300" s="71"/>
      <c r="V300" s="15">
        <f t="shared" si="232"/>
        <v>0</v>
      </c>
      <c r="W300" s="15">
        <f t="shared" si="233"/>
        <v>0</v>
      </c>
      <c r="X300" s="15">
        <f t="shared" si="261"/>
        <v>0</v>
      </c>
      <c r="Y300" s="15">
        <f>J300+Q300+X300</f>
        <v>0</v>
      </c>
      <c r="Z300" s="15">
        <f>SUM(H300,O300,V300)</f>
        <v>0</v>
      </c>
      <c r="AA300" s="78" t="e">
        <f t="shared" si="245"/>
        <v>#DIV/0!</v>
      </c>
      <c r="AB300" s="82"/>
      <c r="AG300" s="15">
        <f t="shared" si="239"/>
        <v>0</v>
      </c>
      <c r="AH300" s="15">
        <f t="shared" si="249"/>
        <v>0</v>
      </c>
      <c r="AI300" s="15">
        <f t="shared" si="250"/>
        <v>0</v>
      </c>
      <c r="AO300" s="15">
        <f t="shared" si="240"/>
        <v>0</v>
      </c>
      <c r="AP300" s="15">
        <f t="shared" si="251"/>
        <v>0</v>
      </c>
      <c r="AQ300" s="15">
        <f t="shared" si="252"/>
        <v>0</v>
      </c>
      <c r="AV300" s="15">
        <f>COUNTIF(AR300:AU300,"PR")</f>
        <v>0</v>
      </c>
      <c r="AW300" s="15">
        <f t="shared" si="234"/>
        <v>0</v>
      </c>
      <c r="AX300" s="15">
        <f t="shared" si="260"/>
        <v>0</v>
      </c>
      <c r="AY300" s="15">
        <f>AI300+AQ300+AX300</f>
        <v>0</v>
      </c>
      <c r="AZ300" s="15">
        <f>SUM(AG300,AO300,AV300)</f>
        <v>0</v>
      </c>
      <c r="BA300" s="78" t="e">
        <f t="shared" si="246"/>
        <v>#DIV/0!</v>
      </c>
      <c r="BD300" s="1"/>
      <c r="BF300" s="15">
        <f t="shared" si="241"/>
        <v>0</v>
      </c>
      <c r="BG300" s="15">
        <f t="shared" si="253"/>
        <v>0</v>
      </c>
      <c r="BH300" s="15">
        <f t="shared" si="254"/>
        <v>0</v>
      </c>
      <c r="BN300" s="15">
        <f t="shared" si="242"/>
        <v>0</v>
      </c>
      <c r="BO300" s="15">
        <f t="shared" si="235"/>
        <v>0</v>
      </c>
      <c r="BP300" s="15">
        <f t="shared" si="255"/>
        <v>0</v>
      </c>
      <c r="BU300" s="15">
        <f t="shared" si="243"/>
        <v>0</v>
      </c>
      <c r="BV300" s="15">
        <f t="shared" si="256"/>
        <v>0</v>
      </c>
      <c r="BW300" s="15">
        <f t="shared" si="257"/>
        <v>0</v>
      </c>
      <c r="BX300" s="15">
        <f t="shared" si="236"/>
        <v>0</v>
      </c>
      <c r="BY300" s="15">
        <f t="shared" si="237"/>
        <v>0</v>
      </c>
      <c r="BZ300" s="1" t="e">
        <f t="shared" si="247"/>
        <v>#DIV/0!</v>
      </c>
      <c r="CA300" s="82"/>
      <c r="CG300" s="15">
        <f>COUNTIF(CB300:CF300,"PR")</f>
        <v>0</v>
      </c>
      <c r="CH300" s="15">
        <f>COUNTIF(CB300:CF300,"AB")</f>
        <v>0</v>
      </c>
      <c r="CI300" s="15">
        <f t="shared" si="258"/>
        <v>0</v>
      </c>
      <c r="CN300" s="15">
        <f>COUNTIF(CJ300:CM300,"PR")</f>
        <v>0</v>
      </c>
      <c r="CO300" s="15">
        <f>COUNTIF(CJ300:CM300,"AB")</f>
        <v>0</v>
      </c>
      <c r="CP300" s="15">
        <f t="shared" si="259"/>
        <v>0</v>
      </c>
      <c r="CU300" s="15">
        <f t="shared" si="244"/>
        <v>0</v>
      </c>
      <c r="CV300" s="15">
        <f t="shared" si="228"/>
        <v>0</v>
      </c>
      <c r="CW300" s="15">
        <f t="shared" si="229"/>
        <v>0</v>
      </c>
      <c r="CX300" s="15">
        <f>CG300+CN300+CU300</f>
        <v>0</v>
      </c>
      <c r="CY300" s="15" t="e">
        <f>SUM(CE300,#REF!,CS300)</f>
        <v>#REF!</v>
      </c>
      <c r="CZ300" s="1" t="e">
        <f t="shared" si="248"/>
        <v>#REF!</v>
      </c>
      <c r="DA300" s="82"/>
    </row>
    <row r="301" spans="1:105">
      <c r="A301" s="87"/>
      <c r="B301" s="14"/>
      <c r="H301" s="15">
        <f t="shared" si="224"/>
        <v>0</v>
      </c>
      <c r="I301" s="18">
        <f t="shared" si="225"/>
        <v>0</v>
      </c>
      <c r="J301" s="15">
        <f t="shared" si="226"/>
        <v>0</v>
      </c>
      <c r="O301" s="15">
        <f t="shared" si="238"/>
        <v>0</v>
      </c>
      <c r="P301" s="18">
        <f t="shared" si="230"/>
        <v>0</v>
      </c>
      <c r="Q301" s="15">
        <f t="shared" si="231"/>
        <v>0</v>
      </c>
      <c r="V301" s="15">
        <f t="shared" si="232"/>
        <v>0</v>
      </c>
      <c r="W301" s="15">
        <f t="shared" si="233"/>
        <v>0</v>
      </c>
      <c r="X301" s="15">
        <f t="shared" si="261"/>
        <v>0</v>
      </c>
      <c r="Y301" s="15">
        <f>J301+Q301+X301</f>
        <v>0</v>
      </c>
      <c r="Z301" s="15">
        <f>SUM(H301,O301,V301)</f>
        <v>0</v>
      </c>
      <c r="AA301" s="78" t="e">
        <f t="shared" si="245"/>
        <v>#DIV/0!</v>
      </c>
      <c r="AB301" s="78"/>
      <c r="AG301" s="15">
        <f t="shared" si="239"/>
        <v>0</v>
      </c>
      <c r="AH301" s="15">
        <f t="shared" si="249"/>
        <v>0</v>
      </c>
      <c r="AI301" s="15">
        <f t="shared" si="250"/>
        <v>0</v>
      </c>
      <c r="AO301" s="15">
        <f t="shared" si="240"/>
        <v>0</v>
      </c>
      <c r="AP301" s="15">
        <f t="shared" si="251"/>
        <v>0</v>
      </c>
      <c r="AQ301" s="15">
        <f t="shared" si="252"/>
        <v>0</v>
      </c>
      <c r="AV301" s="15">
        <f>COUNTIF(AR301:AU301,"PR")</f>
        <v>0</v>
      </c>
      <c r="AW301" s="15">
        <f t="shared" si="234"/>
        <v>0</v>
      </c>
      <c r="AX301" s="15">
        <f t="shared" si="260"/>
        <v>0</v>
      </c>
      <c r="AY301" s="15">
        <f>AI301+AQ301+AX301</f>
        <v>0</v>
      </c>
      <c r="AZ301" s="15">
        <f>SUM(AG301,AO301,AV301)</f>
        <v>0</v>
      </c>
      <c r="BA301" s="78" t="e">
        <f t="shared" si="246"/>
        <v>#DIV/0!</v>
      </c>
      <c r="BD301" s="1"/>
      <c r="BF301" s="15">
        <f t="shared" si="241"/>
        <v>0</v>
      </c>
      <c r="BG301" s="15">
        <f t="shared" si="253"/>
        <v>0</v>
      </c>
      <c r="BH301" s="15">
        <f t="shared" si="254"/>
        <v>0</v>
      </c>
      <c r="BN301" s="15">
        <f t="shared" si="242"/>
        <v>0</v>
      </c>
      <c r="BO301" s="15">
        <f t="shared" si="235"/>
        <v>0</v>
      </c>
      <c r="BP301" s="15">
        <f t="shared" si="255"/>
        <v>0</v>
      </c>
      <c r="BU301" s="15">
        <f t="shared" si="243"/>
        <v>0</v>
      </c>
      <c r="BV301" s="15">
        <f t="shared" si="256"/>
        <v>0</v>
      </c>
      <c r="BW301" s="15">
        <f t="shared" si="257"/>
        <v>0</v>
      </c>
      <c r="BX301" s="15">
        <f t="shared" si="236"/>
        <v>0</v>
      </c>
      <c r="BY301" s="15">
        <f t="shared" si="237"/>
        <v>0</v>
      </c>
      <c r="BZ301" s="1" t="e">
        <f t="shared" si="247"/>
        <v>#DIV/0!</v>
      </c>
      <c r="CA301" s="78"/>
      <c r="CG301" s="15">
        <f>COUNTIF(CB301:CF301,"PR")</f>
        <v>0</v>
      </c>
      <c r="CH301" s="15">
        <f>COUNTIF(CB301:CF301,"AB")</f>
        <v>0</v>
      </c>
      <c r="CI301" s="15">
        <f t="shared" si="258"/>
        <v>0</v>
      </c>
      <c r="CN301" s="15">
        <f>COUNTIF(CJ301:CM301,"PR")</f>
        <v>0</v>
      </c>
      <c r="CO301" s="15">
        <f>COUNTIF(CJ301:CM301,"AB")</f>
        <v>0</v>
      </c>
      <c r="CP301" s="15">
        <f t="shared" si="259"/>
        <v>0</v>
      </c>
      <c r="CU301" s="15">
        <f t="shared" si="244"/>
        <v>0</v>
      </c>
      <c r="CV301" s="15">
        <f t="shared" si="228"/>
        <v>0</v>
      </c>
      <c r="CW301" s="15">
        <f t="shared" si="229"/>
        <v>0</v>
      </c>
      <c r="CX301" s="15">
        <f>CG301+CN301+CU301</f>
        <v>0</v>
      </c>
      <c r="CY301" s="15" t="e">
        <f>SUM(CE301,#REF!,CS301)</f>
        <v>#REF!</v>
      </c>
      <c r="CZ301" s="1" t="e">
        <f t="shared" si="248"/>
        <v>#REF!</v>
      </c>
      <c r="DA301" s="78"/>
    </row>
    <row r="302" spans="1:105">
      <c r="A302" s="87"/>
      <c r="B302" s="14"/>
      <c r="H302" s="15">
        <f t="shared" si="224"/>
        <v>0</v>
      </c>
      <c r="I302" s="18">
        <f t="shared" si="225"/>
        <v>0</v>
      </c>
      <c r="J302" s="15">
        <f t="shared" si="226"/>
        <v>0</v>
      </c>
      <c r="O302" s="15">
        <f t="shared" si="238"/>
        <v>0</v>
      </c>
      <c r="P302" s="18">
        <f t="shared" si="230"/>
        <v>0</v>
      </c>
      <c r="Q302" s="15">
        <f t="shared" si="231"/>
        <v>0</v>
      </c>
      <c r="V302" s="15">
        <f t="shared" si="232"/>
        <v>0</v>
      </c>
      <c r="W302" s="15">
        <f t="shared" si="233"/>
        <v>0</v>
      </c>
      <c r="X302" s="15">
        <f t="shared" si="261"/>
        <v>0</v>
      </c>
      <c r="Y302" s="15">
        <f>J302+Q302+X302</f>
        <v>0</v>
      </c>
      <c r="Z302" s="15">
        <f>SUM(H302,O302,V302)</f>
        <v>0</v>
      </c>
      <c r="AA302" s="78" t="e">
        <f t="shared" si="245"/>
        <v>#DIV/0!</v>
      </c>
      <c r="AB302" s="78"/>
      <c r="AG302" s="15">
        <f t="shared" si="239"/>
        <v>0</v>
      </c>
      <c r="AH302" s="15">
        <f t="shared" si="249"/>
        <v>0</v>
      </c>
      <c r="AI302" s="15">
        <f t="shared" si="250"/>
        <v>0</v>
      </c>
      <c r="AO302" s="15">
        <f t="shared" si="240"/>
        <v>0</v>
      </c>
      <c r="AP302" s="15">
        <f t="shared" si="251"/>
        <v>0</v>
      </c>
      <c r="AQ302" s="15">
        <f t="shared" si="252"/>
        <v>0</v>
      </c>
      <c r="AV302" s="15">
        <f>COUNTIF(AR302:AU302,"PR")</f>
        <v>0</v>
      </c>
      <c r="AW302" s="15">
        <f t="shared" si="234"/>
        <v>0</v>
      </c>
      <c r="AX302" s="15">
        <f t="shared" si="260"/>
        <v>0</v>
      </c>
      <c r="AY302" s="15">
        <f>AI302+AQ302+AX302</f>
        <v>0</v>
      </c>
      <c r="AZ302" s="15">
        <f>SUM(AG302,AO302,AV302)</f>
        <v>0</v>
      </c>
      <c r="BA302" s="78" t="e">
        <f t="shared" si="246"/>
        <v>#DIV/0!</v>
      </c>
      <c r="BD302" s="1"/>
      <c r="BF302" s="15">
        <f t="shared" si="241"/>
        <v>0</v>
      </c>
      <c r="BG302" s="15">
        <f t="shared" si="253"/>
        <v>0</v>
      </c>
      <c r="BH302" s="15">
        <f t="shared" si="254"/>
        <v>0</v>
      </c>
      <c r="BN302" s="15">
        <f t="shared" si="242"/>
        <v>0</v>
      </c>
      <c r="BO302" s="15">
        <f t="shared" si="235"/>
        <v>0</v>
      </c>
      <c r="BP302" s="15">
        <f t="shared" si="255"/>
        <v>0</v>
      </c>
      <c r="BU302" s="15">
        <f t="shared" si="243"/>
        <v>0</v>
      </c>
      <c r="BV302" s="15">
        <f t="shared" si="256"/>
        <v>0</v>
      </c>
      <c r="BW302" s="15">
        <f t="shared" si="257"/>
        <v>0</v>
      </c>
      <c r="BX302" s="15">
        <f t="shared" si="236"/>
        <v>0</v>
      </c>
      <c r="BY302" s="15">
        <f t="shared" si="237"/>
        <v>0</v>
      </c>
      <c r="BZ302" s="1" t="e">
        <f t="shared" si="247"/>
        <v>#DIV/0!</v>
      </c>
      <c r="CA302" s="78"/>
      <c r="CG302" s="15">
        <f>COUNTIF(CB302:CF302,"PR")</f>
        <v>0</v>
      </c>
      <c r="CH302" s="15">
        <f>COUNTIF(CB302:CF302,"AB")</f>
        <v>0</v>
      </c>
      <c r="CI302" s="15">
        <f t="shared" si="258"/>
        <v>0</v>
      </c>
      <c r="CN302" s="15">
        <f>COUNTIF(CJ302:CM302,"PR")</f>
        <v>0</v>
      </c>
      <c r="CO302" s="15">
        <f>COUNTIF(CJ302:CM302,"AB")</f>
        <v>0</v>
      </c>
      <c r="CP302" s="15">
        <f t="shared" si="259"/>
        <v>0</v>
      </c>
      <c r="CU302" s="15">
        <f t="shared" si="244"/>
        <v>0</v>
      </c>
      <c r="CV302" s="15">
        <f t="shared" si="228"/>
        <v>0</v>
      </c>
      <c r="CW302" s="15">
        <f t="shared" si="229"/>
        <v>0</v>
      </c>
      <c r="CX302" s="15">
        <f>CG302+CN302+CU302</f>
        <v>0</v>
      </c>
      <c r="CY302" s="15" t="e">
        <f>SUM(CE302,#REF!,CS302)</f>
        <v>#REF!</v>
      </c>
      <c r="CZ302" s="1" t="e">
        <f t="shared" si="248"/>
        <v>#REF!</v>
      </c>
      <c r="DA302" s="78"/>
    </row>
    <row r="303" spans="1:105">
      <c r="A303" s="87"/>
      <c r="B303" s="14"/>
      <c r="H303" s="15">
        <f t="shared" si="224"/>
        <v>0</v>
      </c>
      <c r="I303" s="18">
        <f t="shared" si="225"/>
        <v>0</v>
      </c>
      <c r="J303" s="15">
        <f t="shared" si="226"/>
        <v>0</v>
      </c>
      <c r="O303" s="15">
        <f t="shared" si="238"/>
        <v>0</v>
      </c>
      <c r="P303" s="18">
        <f t="shared" si="230"/>
        <v>0</v>
      </c>
      <c r="Q303" s="15">
        <f t="shared" si="231"/>
        <v>0</v>
      </c>
      <c r="V303" s="15">
        <f t="shared" si="232"/>
        <v>0</v>
      </c>
      <c r="W303" s="15">
        <f t="shared" si="233"/>
        <v>0</v>
      </c>
      <c r="X303" s="15">
        <f t="shared" si="261"/>
        <v>0</v>
      </c>
      <c r="Y303" s="15">
        <f>J303+Q303+X303</f>
        <v>0</v>
      </c>
      <c r="Z303" s="15">
        <f>SUM(H303,O303,V303)</f>
        <v>0</v>
      </c>
      <c r="AA303" s="78" t="e">
        <f t="shared" si="245"/>
        <v>#DIV/0!</v>
      </c>
      <c r="AB303" s="78"/>
      <c r="AG303" s="15">
        <f t="shared" si="239"/>
        <v>0</v>
      </c>
      <c r="AH303" s="15">
        <f t="shared" si="249"/>
        <v>0</v>
      </c>
      <c r="AI303" s="15">
        <f t="shared" si="250"/>
        <v>0</v>
      </c>
      <c r="AO303" s="15">
        <f t="shared" si="240"/>
        <v>0</v>
      </c>
      <c r="AP303" s="15">
        <f t="shared" si="251"/>
        <v>0</v>
      </c>
      <c r="AQ303" s="15">
        <f t="shared" si="252"/>
        <v>0</v>
      </c>
      <c r="AV303" s="15">
        <f>COUNTIF(AR303:AU303,"PR")</f>
        <v>0</v>
      </c>
      <c r="AW303" s="15">
        <f t="shared" si="234"/>
        <v>0</v>
      </c>
      <c r="AX303" s="15">
        <f t="shared" si="260"/>
        <v>0</v>
      </c>
      <c r="AY303" s="15">
        <f>AI303+AQ303+AX303</f>
        <v>0</v>
      </c>
      <c r="AZ303" s="15">
        <f>SUM(AG303,AO303,AV303)</f>
        <v>0</v>
      </c>
      <c r="BA303" s="78" t="e">
        <f t="shared" si="246"/>
        <v>#DIV/0!</v>
      </c>
      <c r="BD303" s="1"/>
      <c r="BF303" s="15">
        <f t="shared" si="241"/>
        <v>0</v>
      </c>
      <c r="BG303" s="15">
        <f t="shared" si="253"/>
        <v>0</v>
      </c>
      <c r="BH303" s="15">
        <f t="shared" si="254"/>
        <v>0</v>
      </c>
      <c r="BN303" s="15">
        <f t="shared" si="242"/>
        <v>0</v>
      </c>
      <c r="BO303" s="15">
        <f t="shared" si="235"/>
        <v>0</v>
      </c>
      <c r="BP303" s="15">
        <f t="shared" si="255"/>
        <v>0</v>
      </c>
      <c r="BU303" s="15">
        <f t="shared" si="243"/>
        <v>0</v>
      </c>
      <c r="BV303" s="15">
        <f t="shared" si="256"/>
        <v>0</v>
      </c>
      <c r="BW303" s="15">
        <f t="shared" si="257"/>
        <v>0</v>
      </c>
      <c r="BX303" s="15">
        <f t="shared" si="236"/>
        <v>0</v>
      </c>
      <c r="BY303" s="15">
        <f t="shared" si="237"/>
        <v>0</v>
      </c>
      <c r="BZ303" s="1" t="e">
        <f t="shared" si="247"/>
        <v>#DIV/0!</v>
      </c>
      <c r="CA303" s="78"/>
      <c r="CG303" s="15">
        <f>COUNTIF(CB303:CF303,"PR")</f>
        <v>0</v>
      </c>
      <c r="CH303" s="15">
        <f>COUNTIF(CB303:CF303,"AB")</f>
        <v>0</v>
      </c>
      <c r="CI303" s="15">
        <f t="shared" si="258"/>
        <v>0</v>
      </c>
      <c r="CN303" s="15">
        <f>COUNTIF(CJ303:CM303,"PR")</f>
        <v>0</v>
      </c>
      <c r="CO303" s="15">
        <f>COUNTIF(CJ303:CM303,"AB")</f>
        <v>0</v>
      </c>
      <c r="CP303" s="15">
        <f t="shared" si="259"/>
        <v>0</v>
      </c>
      <c r="CU303" s="15">
        <f t="shared" si="244"/>
        <v>0</v>
      </c>
      <c r="CV303" s="15">
        <f t="shared" si="228"/>
        <v>0</v>
      </c>
      <c r="CW303" s="15">
        <f t="shared" si="229"/>
        <v>0</v>
      </c>
      <c r="CX303" s="15">
        <f>CG303+CN303+CU303</f>
        <v>0</v>
      </c>
      <c r="CY303" s="15" t="e">
        <f>SUM(CE303,#REF!,CS303)</f>
        <v>#REF!</v>
      </c>
      <c r="CZ303" s="1" t="e">
        <f t="shared" si="248"/>
        <v>#REF!</v>
      </c>
      <c r="DA303" s="78"/>
    </row>
    <row r="304" spans="1:105">
      <c r="A304" s="87"/>
      <c r="B304" s="14"/>
      <c r="H304" s="15">
        <f t="shared" si="224"/>
        <v>0</v>
      </c>
      <c r="I304" s="18">
        <f t="shared" si="225"/>
        <v>0</v>
      </c>
      <c r="J304" s="15">
        <f t="shared" si="226"/>
        <v>0</v>
      </c>
      <c r="O304" s="15">
        <f t="shared" si="238"/>
        <v>0</v>
      </c>
      <c r="P304" s="18">
        <f t="shared" si="230"/>
        <v>0</v>
      </c>
      <c r="Q304" s="15">
        <f t="shared" si="231"/>
        <v>0</v>
      </c>
      <c r="V304" s="15">
        <f t="shared" si="232"/>
        <v>0</v>
      </c>
      <c r="W304" s="15">
        <f t="shared" si="233"/>
        <v>0</v>
      </c>
      <c r="X304" s="15">
        <f t="shared" si="261"/>
        <v>0</v>
      </c>
      <c r="Y304" s="15">
        <f>J304+Q304+X304</f>
        <v>0</v>
      </c>
      <c r="Z304" s="15">
        <f>SUM(H304,O304,V304)</f>
        <v>0</v>
      </c>
      <c r="AA304" s="78" t="e">
        <f t="shared" si="245"/>
        <v>#DIV/0!</v>
      </c>
      <c r="AB304" s="78"/>
      <c r="AG304" s="15">
        <f t="shared" si="239"/>
        <v>0</v>
      </c>
      <c r="AH304" s="15">
        <f t="shared" si="249"/>
        <v>0</v>
      </c>
      <c r="AI304" s="15">
        <f t="shared" si="250"/>
        <v>0</v>
      </c>
      <c r="AO304" s="15">
        <f t="shared" si="240"/>
        <v>0</v>
      </c>
      <c r="AP304" s="15">
        <f t="shared" si="251"/>
        <v>0</v>
      </c>
      <c r="AQ304" s="15">
        <f t="shared" si="252"/>
        <v>0</v>
      </c>
      <c r="AV304" s="15">
        <f>COUNTIF(AR304:AU304,"PR")</f>
        <v>0</v>
      </c>
      <c r="AW304" s="15">
        <f t="shared" si="234"/>
        <v>0</v>
      </c>
      <c r="AX304" s="15">
        <f t="shared" si="260"/>
        <v>0</v>
      </c>
      <c r="AY304" s="15">
        <f>AI304+AQ304+AX304</f>
        <v>0</v>
      </c>
      <c r="AZ304" s="15">
        <f>SUM(AG304,AO304,AV304)</f>
        <v>0</v>
      </c>
      <c r="BA304" s="78" t="e">
        <f t="shared" si="246"/>
        <v>#DIV/0!</v>
      </c>
      <c r="BD304" s="1"/>
      <c r="BF304" s="15">
        <f t="shared" si="241"/>
        <v>0</v>
      </c>
      <c r="BG304" s="15">
        <f t="shared" si="253"/>
        <v>0</v>
      </c>
      <c r="BH304" s="15">
        <f t="shared" si="254"/>
        <v>0</v>
      </c>
      <c r="BN304" s="15">
        <f t="shared" si="242"/>
        <v>0</v>
      </c>
      <c r="BO304" s="15">
        <f t="shared" si="235"/>
        <v>0</v>
      </c>
      <c r="BP304" s="15">
        <f t="shared" si="255"/>
        <v>0</v>
      </c>
      <c r="BU304" s="15">
        <f t="shared" si="243"/>
        <v>0</v>
      </c>
      <c r="BV304" s="15">
        <f t="shared" si="256"/>
        <v>0</v>
      </c>
      <c r="BW304" s="15">
        <f t="shared" si="257"/>
        <v>0</v>
      </c>
      <c r="BX304" s="15">
        <f t="shared" si="236"/>
        <v>0</v>
      </c>
      <c r="BY304" s="15">
        <f t="shared" si="237"/>
        <v>0</v>
      </c>
      <c r="BZ304" s="1" t="e">
        <f t="shared" si="247"/>
        <v>#DIV/0!</v>
      </c>
      <c r="CA304" s="78"/>
      <c r="CG304" s="15">
        <f>COUNTIF(CB304:CF304,"PR")</f>
        <v>0</v>
      </c>
      <c r="CH304" s="15">
        <f>COUNTIF(CB304:CF304,"AB")</f>
        <v>0</v>
      </c>
      <c r="CI304" s="15">
        <f t="shared" si="258"/>
        <v>0</v>
      </c>
      <c r="CN304" s="15">
        <f>COUNTIF(CJ304:CM304,"PR")</f>
        <v>0</v>
      </c>
      <c r="CO304" s="15">
        <f>COUNTIF(CJ304:CM304,"AB")</f>
        <v>0</v>
      </c>
      <c r="CP304" s="15">
        <f t="shared" si="259"/>
        <v>0</v>
      </c>
      <c r="CU304" s="15">
        <f t="shared" si="244"/>
        <v>0</v>
      </c>
      <c r="CV304" s="15">
        <f t="shared" si="228"/>
        <v>0</v>
      </c>
      <c r="CW304" s="15">
        <f t="shared" si="229"/>
        <v>0</v>
      </c>
      <c r="CX304" s="15">
        <f>CG304+CN304+CU304</f>
        <v>0</v>
      </c>
      <c r="CY304" s="15" t="e">
        <f>SUM(CE304,#REF!,CS304)</f>
        <v>#REF!</v>
      </c>
      <c r="CZ304" s="1" t="e">
        <f t="shared" si="248"/>
        <v>#REF!</v>
      </c>
      <c r="DA304" s="78"/>
    </row>
    <row r="305" spans="1:105">
      <c r="A305" s="87"/>
      <c r="B305" s="14"/>
      <c r="H305" s="15">
        <f t="shared" ref="H305:H347" si="262">COUNTIF(C305:G305,"PR")</f>
        <v>0</v>
      </c>
      <c r="I305" s="18">
        <f t="shared" ref="I305:I347" si="263">COUNTIF(C305:G305,"AB")</f>
        <v>0</v>
      </c>
      <c r="J305" s="15">
        <f t="shared" ref="J305:J347" si="264">H305+I305</f>
        <v>0</v>
      </c>
      <c r="O305" s="15">
        <f t="shared" si="238"/>
        <v>0</v>
      </c>
      <c r="P305" s="18">
        <f t="shared" si="230"/>
        <v>0</v>
      </c>
      <c r="Q305" s="15">
        <f t="shared" si="231"/>
        <v>0</v>
      </c>
      <c r="V305" s="15">
        <f t="shared" si="232"/>
        <v>0</v>
      </c>
      <c r="W305" s="15">
        <f t="shared" si="233"/>
        <v>0</v>
      </c>
      <c r="X305" s="15">
        <f t="shared" si="261"/>
        <v>0</v>
      </c>
      <c r="Y305" s="15">
        <f>J305+Q305+X305</f>
        <v>0</v>
      </c>
      <c r="Z305" s="15">
        <f>SUM(H305,O305,V305)</f>
        <v>0</v>
      </c>
      <c r="AA305" s="78" t="e">
        <f t="shared" si="245"/>
        <v>#DIV/0!</v>
      </c>
      <c r="AB305" s="78"/>
      <c r="AG305" s="15">
        <f t="shared" si="239"/>
        <v>0</v>
      </c>
      <c r="AH305" s="15">
        <f t="shared" si="249"/>
        <v>0</v>
      </c>
      <c r="AI305" s="15">
        <f t="shared" si="250"/>
        <v>0</v>
      </c>
      <c r="AO305" s="15">
        <f t="shared" si="240"/>
        <v>0</v>
      </c>
      <c r="AP305" s="15">
        <f t="shared" si="251"/>
        <v>0</v>
      </c>
      <c r="AQ305" s="15">
        <f t="shared" si="252"/>
        <v>0</v>
      </c>
      <c r="AV305" s="15">
        <f>COUNTIF(AR305:AU305,"PR")</f>
        <v>0</v>
      </c>
      <c r="AW305" s="15">
        <f t="shared" si="234"/>
        <v>0</v>
      </c>
      <c r="AX305" s="15">
        <f t="shared" si="260"/>
        <v>0</v>
      </c>
      <c r="AY305" s="15">
        <f>AI305+AQ305+AX305</f>
        <v>0</v>
      </c>
      <c r="AZ305" s="15">
        <f>SUM(AG305,AO305,AV305)</f>
        <v>0</v>
      </c>
      <c r="BA305" s="78" t="e">
        <f t="shared" si="246"/>
        <v>#DIV/0!</v>
      </c>
      <c r="BD305" s="1"/>
      <c r="BF305" s="15">
        <f t="shared" si="241"/>
        <v>0</v>
      </c>
      <c r="BG305" s="15">
        <f t="shared" si="253"/>
        <v>0</v>
      </c>
      <c r="BH305" s="15">
        <f t="shared" si="254"/>
        <v>0</v>
      </c>
      <c r="BN305" s="15">
        <f t="shared" si="242"/>
        <v>0</v>
      </c>
      <c r="BO305" s="15">
        <f t="shared" si="235"/>
        <v>0</v>
      </c>
      <c r="BP305" s="15">
        <f t="shared" si="255"/>
        <v>0</v>
      </c>
      <c r="BU305" s="15">
        <f t="shared" si="243"/>
        <v>0</v>
      </c>
      <c r="BV305" s="15">
        <f t="shared" si="256"/>
        <v>0</v>
      </c>
      <c r="BW305" s="15">
        <f t="shared" si="257"/>
        <v>0</v>
      </c>
      <c r="BX305" s="15">
        <f t="shared" si="236"/>
        <v>0</v>
      </c>
      <c r="BY305" s="15">
        <f t="shared" si="237"/>
        <v>0</v>
      </c>
      <c r="BZ305" s="1" t="e">
        <f t="shared" si="247"/>
        <v>#DIV/0!</v>
      </c>
      <c r="CA305" s="78"/>
      <c r="CG305" s="15">
        <f>COUNTIF(CB305:CF305,"PR")</f>
        <v>0</v>
      </c>
      <c r="CH305" s="15">
        <f>COUNTIF(CB305:CF305,"AB")</f>
        <v>0</v>
      </c>
      <c r="CI305" s="15">
        <f t="shared" si="258"/>
        <v>0</v>
      </c>
      <c r="CN305" s="15">
        <f>COUNTIF(CJ305:CM305,"PR")</f>
        <v>0</v>
      </c>
      <c r="CO305" s="15">
        <f>COUNTIF(CJ305:CM305,"AB")</f>
        <v>0</v>
      </c>
      <c r="CP305" s="15">
        <f t="shared" si="259"/>
        <v>0</v>
      </c>
      <c r="CU305" s="15">
        <f t="shared" si="244"/>
        <v>0</v>
      </c>
      <c r="CV305" s="15">
        <f t="shared" si="228"/>
        <v>0</v>
      </c>
      <c r="CW305" s="15">
        <f t="shared" si="229"/>
        <v>0</v>
      </c>
      <c r="CX305" s="15">
        <f>CG305+CN305+CU305</f>
        <v>0</v>
      </c>
      <c r="CY305" s="15" t="e">
        <f>SUM(CE305,#REF!,CS305)</f>
        <v>#REF!</v>
      </c>
      <c r="CZ305" s="1" t="e">
        <f t="shared" si="248"/>
        <v>#REF!</v>
      </c>
      <c r="DA305" s="78"/>
    </row>
    <row r="306" spans="1:105">
      <c r="A306" s="87"/>
      <c r="B306" s="14"/>
      <c r="H306" s="15">
        <f t="shared" si="262"/>
        <v>0</v>
      </c>
      <c r="I306" s="18">
        <f t="shared" si="263"/>
        <v>0</v>
      </c>
      <c r="J306" s="15">
        <f t="shared" si="264"/>
        <v>0</v>
      </c>
      <c r="O306" s="15">
        <f t="shared" si="238"/>
        <v>0</v>
      </c>
      <c r="P306" s="18">
        <f t="shared" ref="P306:P347" si="265">COUNTIF(K306:N306,"AB")</f>
        <v>0</v>
      </c>
      <c r="Q306" s="15">
        <f t="shared" ref="Q306:Q347" si="266">O306+P306</f>
        <v>0</v>
      </c>
      <c r="V306" s="15">
        <f t="shared" si="232"/>
        <v>0</v>
      </c>
      <c r="W306" s="15">
        <f t="shared" si="233"/>
        <v>0</v>
      </c>
      <c r="X306" s="15">
        <f t="shared" si="261"/>
        <v>0</v>
      </c>
      <c r="Y306" s="15">
        <f>J306+Q306+X306</f>
        <v>0</v>
      </c>
      <c r="Z306" s="15">
        <f>SUM(H306,O306,V306)</f>
        <v>0</v>
      </c>
      <c r="AA306" s="78" t="e">
        <f t="shared" si="245"/>
        <v>#DIV/0!</v>
      </c>
      <c r="AB306" s="78"/>
      <c r="AG306" s="15">
        <f t="shared" si="239"/>
        <v>0</v>
      </c>
      <c r="AH306" s="15">
        <f t="shared" si="249"/>
        <v>0</v>
      </c>
      <c r="AI306" s="15">
        <f t="shared" si="250"/>
        <v>0</v>
      </c>
      <c r="AO306" s="15">
        <f t="shared" si="240"/>
        <v>0</v>
      </c>
      <c r="AP306" s="15">
        <f t="shared" si="251"/>
        <v>0</v>
      </c>
      <c r="AQ306" s="15">
        <f t="shared" si="252"/>
        <v>0</v>
      </c>
      <c r="AV306" s="15">
        <f>COUNTIF(AR306:AU306,"PR")</f>
        <v>0</v>
      </c>
      <c r="AW306" s="15">
        <f t="shared" si="234"/>
        <v>0</v>
      </c>
      <c r="AX306" s="15">
        <f t="shared" si="260"/>
        <v>0</v>
      </c>
      <c r="AY306" s="15">
        <f>AI306+AQ306+AX306</f>
        <v>0</v>
      </c>
      <c r="AZ306" s="15">
        <f>SUM(AG306,AO306,AV306)</f>
        <v>0</v>
      </c>
      <c r="BA306" s="78" t="e">
        <f t="shared" si="246"/>
        <v>#DIV/0!</v>
      </c>
      <c r="BD306" s="1"/>
      <c r="BF306" s="15">
        <f t="shared" si="241"/>
        <v>0</v>
      </c>
      <c r="BG306" s="15">
        <f t="shared" si="253"/>
        <v>0</v>
      </c>
      <c r="BH306" s="15">
        <f t="shared" si="254"/>
        <v>0</v>
      </c>
      <c r="BN306" s="15">
        <f t="shared" si="242"/>
        <v>0</v>
      </c>
      <c r="BO306" s="15">
        <f t="shared" si="235"/>
        <v>0</v>
      </c>
      <c r="BP306" s="15">
        <f t="shared" si="255"/>
        <v>0</v>
      </c>
      <c r="BU306" s="15">
        <f t="shared" si="243"/>
        <v>0</v>
      </c>
      <c r="BV306" s="15">
        <f t="shared" si="256"/>
        <v>0</v>
      </c>
      <c r="BW306" s="15">
        <f t="shared" si="257"/>
        <v>0</v>
      </c>
      <c r="BX306" s="15">
        <f t="shared" ref="BX306:BX347" si="267">BH306+BP306+BW306</f>
        <v>0</v>
      </c>
      <c r="BY306" s="15">
        <f t="shared" ref="BY306:BY347" si="268">SUM(BF306,BN306,BU306)</f>
        <v>0</v>
      </c>
      <c r="BZ306" s="1" t="e">
        <f t="shared" si="247"/>
        <v>#DIV/0!</v>
      </c>
      <c r="CA306" s="78"/>
      <c r="CG306" s="15">
        <f>COUNTIF(CB306:CF306,"PR")</f>
        <v>0</v>
      </c>
      <c r="CH306" s="15">
        <f>COUNTIF(CB306:CF306,"AB")</f>
        <v>0</v>
      </c>
      <c r="CI306" s="15">
        <f t="shared" si="258"/>
        <v>0</v>
      </c>
      <c r="CN306" s="15">
        <f>COUNTIF(CJ306:CM306,"PR")</f>
        <v>0</v>
      </c>
      <c r="CO306" s="15">
        <f>COUNTIF(CJ306:CM306,"AB")</f>
        <v>0</v>
      </c>
      <c r="CP306" s="15">
        <f t="shared" si="259"/>
        <v>0</v>
      </c>
      <c r="CU306" s="15">
        <f t="shared" si="244"/>
        <v>0</v>
      </c>
      <c r="CV306" s="15">
        <f t="shared" ref="CV306:CV347" si="269">COUNTIF(CQ306:CT306,"AB")</f>
        <v>0</v>
      </c>
      <c r="CW306" s="15">
        <f t="shared" ref="CW306:CW347" si="270">CU306+CV306</f>
        <v>0</v>
      </c>
      <c r="CX306" s="15">
        <f>CG306+CN306+CU306</f>
        <v>0</v>
      </c>
      <c r="CY306" s="15" t="e">
        <f>SUM(CE306,#REF!,CS306)</f>
        <v>#REF!</v>
      </c>
      <c r="CZ306" s="1" t="e">
        <f t="shared" si="248"/>
        <v>#REF!</v>
      </c>
      <c r="DA306" s="78"/>
    </row>
    <row r="307" spans="1:105">
      <c r="A307" s="87"/>
      <c r="B307" s="14"/>
      <c r="H307" s="15">
        <f t="shared" si="262"/>
        <v>0</v>
      </c>
      <c r="I307" s="18">
        <f t="shared" si="263"/>
        <v>0</v>
      </c>
      <c r="J307" s="15">
        <f t="shared" si="264"/>
        <v>0</v>
      </c>
      <c r="O307" s="15">
        <f t="shared" si="238"/>
        <v>0</v>
      </c>
      <c r="P307" s="18">
        <f t="shared" si="265"/>
        <v>0</v>
      </c>
      <c r="Q307" s="15">
        <f t="shared" si="266"/>
        <v>0</v>
      </c>
      <c r="V307" s="15">
        <f t="shared" ref="V307:V347" si="271">COUNTIF(R307:U307,"PR")</f>
        <v>0</v>
      </c>
      <c r="W307" s="15">
        <f t="shared" ref="W307:W347" si="272">COUNTIF(R307:U307,"AB")</f>
        <v>0</v>
      </c>
      <c r="X307" s="15">
        <f t="shared" si="261"/>
        <v>0</v>
      </c>
      <c r="Y307" s="15">
        <f>J307+Q307+X307</f>
        <v>0</v>
      </c>
      <c r="Z307" s="15">
        <f>SUM(H307,O307,V307)</f>
        <v>0</v>
      </c>
      <c r="AA307" s="78" t="e">
        <f t="shared" si="245"/>
        <v>#DIV/0!</v>
      </c>
      <c r="AB307" s="78"/>
      <c r="AG307" s="15">
        <f t="shared" si="239"/>
        <v>0</v>
      </c>
      <c r="AH307" s="15">
        <f t="shared" si="249"/>
        <v>0</v>
      </c>
      <c r="AI307" s="15">
        <f t="shared" si="250"/>
        <v>0</v>
      </c>
      <c r="AO307" s="15">
        <f t="shared" si="240"/>
        <v>0</v>
      </c>
      <c r="AP307" s="15">
        <f t="shared" si="251"/>
        <v>0</v>
      </c>
      <c r="AQ307" s="15">
        <f t="shared" si="252"/>
        <v>0</v>
      </c>
      <c r="AV307" s="15">
        <f>COUNTIF(AR307:AU307,"PR")</f>
        <v>0</v>
      </c>
      <c r="AW307" s="15">
        <f t="shared" ref="AW307:AW347" si="273">COUNTIF(AR307:AU307,"AB")</f>
        <v>0</v>
      </c>
      <c r="AX307" s="15">
        <f t="shared" si="260"/>
        <v>0</v>
      </c>
      <c r="AY307" s="15">
        <f>AI307+AQ307+AX307</f>
        <v>0</v>
      </c>
      <c r="AZ307" s="15">
        <f>SUM(AG307,AO307,AV307)</f>
        <v>0</v>
      </c>
      <c r="BA307" s="78" t="e">
        <f t="shared" si="246"/>
        <v>#DIV/0!</v>
      </c>
      <c r="BD307" s="1"/>
      <c r="BF307" s="15">
        <f t="shared" si="241"/>
        <v>0</v>
      </c>
      <c r="BG307" s="15">
        <f t="shared" si="253"/>
        <v>0</v>
      </c>
      <c r="BH307" s="15">
        <f t="shared" si="254"/>
        <v>0</v>
      </c>
      <c r="BN307" s="15">
        <f t="shared" si="242"/>
        <v>0</v>
      </c>
      <c r="BO307" s="15">
        <f t="shared" ref="BO307:BO347" si="274">COUNTIF(BI307:BM307,"AB")</f>
        <v>0</v>
      </c>
      <c r="BP307" s="15">
        <f t="shared" si="255"/>
        <v>0</v>
      </c>
      <c r="BU307" s="15">
        <f t="shared" si="243"/>
        <v>0</v>
      </c>
      <c r="BV307" s="15">
        <f t="shared" si="256"/>
        <v>0</v>
      </c>
      <c r="BW307" s="15">
        <f t="shared" si="257"/>
        <v>0</v>
      </c>
      <c r="BX307" s="15">
        <f t="shared" si="267"/>
        <v>0</v>
      </c>
      <c r="BY307" s="15">
        <f t="shared" si="268"/>
        <v>0</v>
      </c>
      <c r="BZ307" s="1" t="e">
        <f t="shared" si="247"/>
        <v>#DIV/0!</v>
      </c>
      <c r="CA307" s="78"/>
      <c r="CG307" s="15">
        <f>COUNTIF(CB307:CF307,"PR")</f>
        <v>0</v>
      </c>
      <c r="CH307" s="15">
        <f>COUNTIF(CB307:CF307,"AB")</f>
        <v>0</v>
      </c>
      <c r="CI307" s="15">
        <f t="shared" si="258"/>
        <v>0</v>
      </c>
      <c r="CN307" s="15">
        <f>COUNTIF(CJ307:CM307,"PR")</f>
        <v>0</v>
      </c>
      <c r="CO307" s="15">
        <f>COUNTIF(CJ307:CM307,"AB")</f>
        <v>0</v>
      </c>
      <c r="CP307" s="15">
        <f t="shared" si="259"/>
        <v>0</v>
      </c>
      <c r="CU307" s="15">
        <f t="shared" si="244"/>
        <v>0</v>
      </c>
      <c r="CV307" s="15">
        <f t="shared" si="269"/>
        <v>0</v>
      </c>
      <c r="CW307" s="15">
        <f t="shared" si="270"/>
        <v>0</v>
      </c>
      <c r="CX307" s="15">
        <f>CG307+CN307+CU307</f>
        <v>0</v>
      </c>
      <c r="CY307" s="15" t="e">
        <f>SUM(CE307,#REF!,CS307)</f>
        <v>#REF!</v>
      </c>
      <c r="CZ307" s="1" t="e">
        <f t="shared" si="248"/>
        <v>#REF!</v>
      </c>
      <c r="DA307" s="78"/>
    </row>
    <row r="308" spans="1:105">
      <c r="A308" s="87"/>
      <c r="B308" s="14"/>
      <c r="H308" s="15">
        <f t="shared" si="262"/>
        <v>0</v>
      </c>
      <c r="I308" s="18">
        <f t="shared" si="263"/>
        <v>0</v>
      </c>
      <c r="J308" s="15">
        <f t="shared" si="264"/>
        <v>0</v>
      </c>
      <c r="O308" s="15">
        <f t="shared" si="238"/>
        <v>0</v>
      </c>
      <c r="P308" s="18">
        <f t="shared" si="265"/>
        <v>0</v>
      </c>
      <c r="Q308" s="15">
        <f t="shared" si="266"/>
        <v>0</v>
      </c>
      <c r="V308" s="15">
        <f t="shared" si="271"/>
        <v>0</v>
      </c>
      <c r="W308" s="15">
        <f t="shared" si="272"/>
        <v>0</v>
      </c>
      <c r="X308" s="15">
        <f t="shared" si="261"/>
        <v>0</v>
      </c>
      <c r="Y308" s="15">
        <f>J308+Q308+X308</f>
        <v>0</v>
      </c>
      <c r="Z308" s="15">
        <f>SUM(H308,O308,V308)</f>
        <v>0</v>
      </c>
      <c r="AA308" s="78" t="e">
        <f t="shared" si="245"/>
        <v>#DIV/0!</v>
      </c>
      <c r="AB308" s="78"/>
      <c r="AG308" s="15">
        <f t="shared" si="239"/>
        <v>0</v>
      </c>
      <c r="AH308" s="15">
        <f t="shared" si="249"/>
        <v>0</v>
      </c>
      <c r="AI308" s="15">
        <f t="shared" si="250"/>
        <v>0</v>
      </c>
      <c r="AO308" s="15">
        <f t="shared" si="240"/>
        <v>0</v>
      </c>
      <c r="AP308" s="15">
        <f t="shared" si="251"/>
        <v>0</v>
      </c>
      <c r="AQ308" s="15">
        <f t="shared" si="252"/>
        <v>0</v>
      </c>
      <c r="AV308" s="15">
        <f>COUNTIF(AR308:AU308,"PR")</f>
        <v>0</v>
      </c>
      <c r="AW308" s="15">
        <f t="shared" si="273"/>
        <v>0</v>
      </c>
      <c r="AX308" s="15">
        <f t="shared" si="260"/>
        <v>0</v>
      </c>
      <c r="AY308" s="15">
        <f>AI308+AQ308+AX308</f>
        <v>0</v>
      </c>
      <c r="AZ308" s="15">
        <f>SUM(AG308,AO308,AV308)</f>
        <v>0</v>
      </c>
      <c r="BA308" s="78" t="e">
        <f t="shared" si="246"/>
        <v>#DIV/0!</v>
      </c>
      <c r="BD308" s="1"/>
      <c r="BF308" s="15">
        <f t="shared" si="241"/>
        <v>0</v>
      </c>
      <c r="BG308" s="15">
        <f t="shared" si="253"/>
        <v>0</v>
      </c>
      <c r="BH308" s="15">
        <f t="shared" si="254"/>
        <v>0</v>
      </c>
      <c r="BN308" s="15">
        <f t="shared" si="242"/>
        <v>0</v>
      </c>
      <c r="BO308" s="15">
        <f t="shared" si="274"/>
        <v>0</v>
      </c>
      <c r="BP308" s="15">
        <f t="shared" si="255"/>
        <v>0</v>
      </c>
      <c r="BU308" s="15">
        <f t="shared" si="243"/>
        <v>0</v>
      </c>
      <c r="BV308" s="15">
        <f t="shared" si="256"/>
        <v>0</v>
      </c>
      <c r="BW308" s="15">
        <f t="shared" si="257"/>
        <v>0</v>
      </c>
      <c r="BX308" s="15">
        <f t="shared" si="267"/>
        <v>0</v>
      </c>
      <c r="BY308" s="15">
        <f t="shared" si="268"/>
        <v>0</v>
      </c>
      <c r="BZ308" s="1" t="e">
        <f t="shared" si="247"/>
        <v>#DIV/0!</v>
      </c>
      <c r="CA308" s="78"/>
      <c r="CG308" s="15">
        <f>COUNTIF(CB308:CF308,"PR")</f>
        <v>0</v>
      </c>
      <c r="CH308" s="15">
        <f>COUNTIF(CB308:CF308,"AB")</f>
        <v>0</v>
      </c>
      <c r="CI308" s="15">
        <f t="shared" si="258"/>
        <v>0</v>
      </c>
      <c r="CN308" s="15">
        <f>COUNTIF(CJ308:CM308,"PR")</f>
        <v>0</v>
      </c>
      <c r="CO308" s="15">
        <f>COUNTIF(CJ308:CM308,"AB")</f>
        <v>0</v>
      </c>
      <c r="CP308" s="15">
        <f t="shared" si="259"/>
        <v>0</v>
      </c>
      <c r="CU308" s="15">
        <f t="shared" si="244"/>
        <v>0</v>
      </c>
      <c r="CV308" s="15">
        <f t="shared" si="269"/>
        <v>0</v>
      </c>
      <c r="CW308" s="15">
        <f t="shared" si="270"/>
        <v>0</v>
      </c>
      <c r="CX308" s="15">
        <f>CG308+CN308+CU308</f>
        <v>0</v>
      </c>
      <c r="CY308" s="15" t="e">
        <f>SUM(CE308,#REF!,CS308)</f>
        <v>#REF!</v>
      </c>
      <c r="CZ308" s="1" t="e">
        <f t="shared" si="248"/>
        <v>#REF!</v>
      </c>
      <c r="DA308" s="78"/>
    </row>
    <row r="309" spans="1:105">
      <c r="A309" s="87"/>
      <c r="B309" s="14"/>
      <c r="H309" s="15">
        <f t="shared" si="262"/>
        <v>0</v>
      </c>
      <c r="I309" s="18">
        <f t="shared" si="263"/>
        <v>0</v>
      </c>
      <c r="J309" s="15">
        <f t="shared" si="264"/>
        <v>0</v>
      </c>
      <c r="O309" s="15">
        <f t="shared" si="238"/>
        <v>0</v>
      </c>
      <c r="P309" s="18">
        <f t="shared" si="265"/>
        <v>0</v>
      </c>
      <c r="Q309" s="15">
        <f t="shared" si="266"/>
        <v>0</v>
      </c>
      <c r="V309" s="15">
        <f t="shared" si="271"/>
        <v>0</v>
      </c>
      <c r="W309" s="15">
        <f t="shared" si="272"/>
        <v>0</v>
      </c>
      <c r="X309" s="15">
        <f t="shared" si="261"/>
        <v>0</v>
      </c>
      <c r="Y309" s="15">
        <f>J309+Q309+X309</f>
        <v>0</v>
      </c>
      <c r="Z309" s="15">
        <f>SUM(H309,O309,V309)</f>
        <v>0</v>
      </c>
      <c r="AA309" s="78" t="e">
        <f t="shared" si="245"/>
        <v>#DIV/0!</v>
      </c>
      <c r="AB309" s="78"/>
      <c r="AG309" s="15">
        <f t="shared" si="239"/>
        <v>0</v>
      </c>
      <c r="AH309" s="15">
        <f t="shared" si="249"/>
        <v>0</v>
      </c>
      <c r="AI309" s="15">
        <f t="shared" si="250"/>
        <v>0</v>
      </c>
      <c r="AO309" s="15">
        <f t="shared" si="240"/>
        <v>0</v>
      </c>
      <c r="AP309" s="15">
        <f t="shared" si="251"/>
        <v>0</v>
      </c>
      <c r="AQ309" s="15">
        <f t="shared" si="252"/>
        <v>0</v>
      </c>
      <c r="AV309" s="15">
        <f>COUNTIF(AR309:AU309,"PR")</f>
        <v>0</v>
      </c>
      <c r="AW309" s="15">
        <f t="shared" si="273"/>
        <v>0</v>
      </c>
      <c r="AX309" s="15">
        <f t="shared" si="260"/>
        <v>0</v>
      </c>
      <c r="AY309" s="15">
        <f>AI309+AQ309+AX309</f>
        <v>0</v>
      </c>
      <c r="AZ309" s="15">
        <f>SUM(AG309,AO309,AV309)</f>
        <v>0</v>
      </c>
      <c r="BA309" s="78" t="e">
        <f t="shared" si="246"/>
        <v>#DIV/0!</v>
      </c>
      <c r="BD309" s="1"/>
      <c r="BF309" s="15">
        <f t="shared" si="241"/>
        <v>0</v>
      </c>
      <c r="BG309" s="15">
        <f t="shared" si="253"/>
        <v>0</v>
      </c>
      <c r="BH309" s="15">
        <f t="shared" si="254"/>
        <v>0</v>
      </c>
      <c r="BN309" s="15">
        <f t="shared" si="242"/>
        <v>0</v>
      </c>
      <c r="BO309" s="15">
        <f t="shared" si="274"/>
        <v>0</v>
      </c>
      <c r="BP309" s="15">
        <f t="shared" si="255"/>
        <v>0</v>
      </c>
      <c r="BU309" s="15">
        <f t="shared" si="243"/>
        <v>0</v>
      </c>
      <c r="BV309" s="15">
        <f t="shared" si="256"/>
        <v>0</v>
      </c>
      <c r="BW309" s="15">
        <f t="shared" si="257"/>
        <v>0</v>
      </c>
      <c r="BX309" s="15">
        <f t="shared" si="267"/>
        <v>0</v>
      </c>
      <c r="BY309" s="15">
        <f t="shared" si="268"/>
        <v>0</v>
      </c>
      <c r="BZ309" s="1" t="e">
        <f t="shared" si="247"/>
        <v>#DIV/0!</v>
      </c>
      <c r="CA309" s="78"/>
      <c r="CG309" s="15">
        <f>COUNTIF(CB309:CF309,"PR")</f>
        <v>0</v>
      </c>
      <c r="CH309" s="15">
        <f>COUNTIF(CB309:CF309,"AB")</f>
        <v>0</v>
      </c>
      <c r="CI309" s="15">
        <f t="shared" si="258"/>
        <v>0</v>
      </c>
      <c r="CN309" s="15">
        <f>COUNTIF(CJ309:CM309,"PR")</f>
        <v>0</v>
      </c>
      <c r="CO309" s="15">
        <f>COUNTIF(CJ309:CM309,"AB")</f>
        <v>0</v>
      </c>
      <c r="CP309" s="15">
        <f t="shared" si="259"/>
        <v>0</v>
      </c>
      <c r="CU309" s="15">
        <f t="shared" si="244"/>
        <v>0</v>
      </c>
      <c r="CV309" s="15">
        <f t="shared" si="269"/>
        <v>0</v>
      </c>
      <c r="CW309" s="15">
        <f t="shared" si="270"/>
        <v>0</v>
      </c>
      <c r="CX309" s="15">
        <f>CG309+CN309+CU309</f>
        <v>0</v>
      </c>
      <c r="CY309" s="15" t="e">
        <f>SUM(CE309,#REF!,CS309)</f>
        <v>#REF!</v>
      </c>
      <c r="CZ309" s="1" t="e">
        <f t="shared" si="248"/>
        <v>#REF!</v>
      </c>
      <c r="DA309" s="78"/>
    </row>
    <row r="310" spans="1:105">
      <c r="A310" s="87"/>
      <c r="B310" s="14"/>
      <c r="H310" s="15">
        <f t="shared" si="262"/>
        <v>0</v>
      </c>
      <c r="I310" s="18">
        <f t="shared" si="263"/>
        <v>0</v>
      </c>
      <c r="J310" s="15">
        <f t="shared" si="264"/>
        <v>0</v>
      </c>
      <c r="O310" s="15">
        <f t="shared" si="238"/>
        <v>0</v>
      </c>
      <c r="P310" s="18">
        <f t="shared" si="265"/>
        <v>0</v>
      </c>
      <c r="Q310" s="15">
        <f t="shared" si="266"/>
        <v>0</v>
      </c>
      <c r="V310" s="15">
        <f t="shared" si="271"/>
        <v>0</v>
      </c>
      <c r="W310" s="15">
        <f t="shared" si="272"/>
        <v>0</v>
      </c>
      <c r="X310" s="15">
        <f t="shared" si="261"/>
        <v>0</v>
      </c>
      <c r="Y310" s="15">
        <f>J310+Q310+X310</f>
        <v>0</v>
      </c>
      <c r="Z310" s="15">
        <f>SUM(H310,O310,V310)</f>
        <v>0</v>
      </c>
      <c r="AA310" s="78" t="e">
        <f t="shared" si="245"/>
        <v>#DIV/0!</v>
      </c>
      <c r="AB310" s="78"/>
      <c r="AG310" s="15">
        <f t="shared" si="239"/>
        <v>0</v>
      </c>
      <c r="AH310" s="15">
        <f t="shared" si="249"/>
        <v>0</v>
      </c>
      <c r="AI310" s="15">
        <f t="shared" si="250"/>
        <v>0</v>
      </c>
      <c r="AO310" s="15">
        <f t="shared" si="240"/>
        <v>0</v>
      </c>
      <c r="AP310" s="15">
        <f t="shared" si="251"/>
        <v>0</v>
      </c>
      <c r="AQ310" s="15">
        <f t="shared" si="252"/>
        <v>0</v>
      </c>
      <c r="AV310" s="15">
        <f>COUNTIF(AR310:AU310,"PR")</f>
        <v>0</v>
      </c>
      <c r="AW310" s="15">
        <f t="shared" si="273"/>
        <v>0</v>
      </c>
      <c r="AX310" s="15">
        <f t="shared" si="260"/>
        <v>0</v>
      </c>
      <c r="AY310" s="15">
        <f>AI310+AQ310+AX310</f>
        <v>0</v>
      </c>
      <c r="AZ310" s="15">
        <f>SUM(AG310,AO310,AV310)</f>
        <v>0</v>
      </c>
      <c r="BA310" s="78" t="e">
        <f t="shared" si="246"/>
        <v>#DIV/0!</v>
      </c>
      <c r="BD310" s="1"/>
      <c r="BF310" s="15">
        <f t="shared" si="241"/>
        <v>0</v>
      </c>
      <c r="BG310" s="15">
        <f t="shared" si="253"/>
        <v>0</v>
      </c>
      <c r="BH310" s="15">
        <f t="shared" si="254"/>
        <v>0</v>
      </c>
      <c r="BN310" s="15">
        <f t="shared" si="242"/>
        <v>0</v>
      </c>
      <c r="BO310" s="15">
        <f t="shared" si="274"/>
        <v>0</v>
      </c>
      <c r="BP310" s="15">
        <f t="shared" si="255"/>
        <v>0</v>
      </c>
      <c r="BU310" s="15">
        <f t="shared" si="243"/>
        <v>0</v>
      </c>
      <c r="BV310" s="15">
        <f t="shared" si="256"/>
        <v>0</v>
      </c>
      <c r="BW310" s="15">
        <f t="shared" si="257"/>
        <v>0</v>
      </c>
      <c r="BX310" s="15">
        <f t="shared" si="267"/>
        <v>0</v>
      </c>
      <c r="BY310" s="15">
        <f t="shared" si="268"/>
        <v>0</v>
      </c>
      <c r="BZ310" s="1" t="e">
        <f t="shared" si="247"/>
        <v>#DIV/0!</v>
      </c>
      <c r="CA310" s="78"/>
      <c r="CG310" s="15">
        <f>COUNTIF(CB310:CF310,"PR")</f>
        <v>0</v>
      </c>
      <c r="CH310" s="15">
        <f>COUNTIF(CB310:CF310,"AB")</f>
        <v>0</v>
      </c>
      <c r="CI310" s="15">
        <f t="shared" si="258"/>
        <v>0</v>
      </c>
      <c r="CN310" s="15">
        <f>COUNTIF(CJ310:CM310,"PR")</f>
        <v>0</v>
      </c>
      <c r="CO310" s="15">
        <f>COUNTIF(CJ310:CM310,"AB")</f>
        <v>0</v>
      </c>
      <c r="CP310" s="15">
        <f t="shared" si="259"/>
        <v>0</v>
      </c>
      <c r="CU310" s="15">
        <f t="shared" si="244"/>
        <v>0</v>
      </c>
      <c r="CV310" s="15">
        <f t="shared" si="269"/>
        <v>0</v>
      </c>
      <c r="CW310" s="15">
        <f t="shared" si="270"/>
        <v>0</v>
      </c>
      <c r="CX310" s="15">
        <f>CG310+CN310+CU310</f>
        <v>0</v>
      </c>
      <c r="CY310" s="15" t="e">
        <f>SUM(CE310,#REF!,CS310)</f>
        <v>#REF!</v>
      </c>
      <c r="CZ310" s="1" t="e">
        <f t="shared" si="248"/>
        <v>#REF!</v>
      </c>
      <c r="DA310" s="78"/>
    </row>
    <row r="311" spans="1:105">
      <c r="A311" s="87"/>
      <c r="B311" s="14"/>
      <c r="H311" s="15">
        <f t="shared" si="262"/>
        <v>0</v>
      </c>
      <c r="I311" s="18">
        <f t="shared" si="263"/>
        <v>0</v>
      </c>
      <c r="J311" s="15">
        <f t="shared" si="264"/>
        <v>0</v>
      </c>
      <c r="O311" s="15">
        <f t="shared" si="238"/>
        <v>0</v>
      </c>
      <c r="P311" s="18">
        <f t="shared" si="265"/>
        <v>0</v>
      </c>
      <c r="Q311" s="15">
        <f t="shared" si="266"/>
        <v>0</v>
      </c>
      <c r="V311" s="15">
        <f t="shared" si="271"/>
        <v>0</v>
      </c>
      <c r="W311" s="15">
        <f t="shared" si="272"/>
        <v>0</v>
      </c>
      <c r="X311" s="15">
        <f t="shared" si="261"/>
        <v>0</v>
      </c>
      <c r="Y311" s="15">
        <f>J311+Q311+X311</f>
        <v>0</v>
      </c>
      <c r="Z311" s="15">
        <f>SUM(H311,O311,V311)</f>
        <v>0</v>
      </c>
      <c r="AA311" s="78" t="e">
        <f t="shared" si="245"/>
        <v>#DIV/0!</v>
      </c>
      <c r="AB311" s="78"/>
      <c r="AG311" s="15">
        <f t="shared" si="239"/>
        <v>0</v>
      </c>
      <c r="AH311" s="15">
        <f t="shared" si="249"/>
        <v>0</v>
      </c>
      <c r="AI311" s="15">
        <f t="shared" si="250"/>
        <v>0</v>
      </c>
      <c r="AO311" s="15">
        <f t="shared" si="240"/>
        <v>0</v>
      </c>
      <c r="AP311" s="15">
        <f t="shared" si="251"/>
        <v>0</v>
      </c>
      <c r="AQ311" s="15">
        <f t="shared" si="252"/>
        <v>0</v>
      </c>
      <c r="AV311" s="15">
        <f>COUNTIF(AR311:AU311,"PR")</f>
        <v>0</v>
      </c>
      <c r="AW311" s="15">
        <f t="shared" si="273"/>
        <v>0</v>
      </c>
      <c r="AX311" s="15">
        <f t="shared" si="260"/>
        <v>0</v>
      </c>
      <c r="AY311" s="15">
        <f>AI311+AQ311+AX311</f>
        <v>0</v>
      </c>
      <c r="AZ311" s="15">
        <f>SUM(AG311,AO311,AV311)</f>
        <v>0</v>
      </c>
      <c r="BA311" s="78" t="e">
        <f t="shared" si="246"/>
        <v>#DIV/0!</v>
      </c>
      <c r="BD311" s="1"/>
      <c r="BF311" s="15">
        <f t="shared" si="241"/>
        <v>0</v>
      </c>
      <c r="BG311" s="15">
        <f t="shared" si="253"/>
        <v>0</v>
      </c>
      <c r="BH311" s="15">
        <f t="shared" si="254"/>
        <v>0</v>
      </c>
      <c r="BN311" s="15">
        <f t="shared" si="242"/>
        <v>0</v>
      </c>
      <c r="BO311" s="15">
        <f t="shared" si="274"/>
        <v>0</v>
      </c>
      <c r="BP311" s="15">
        <f t="shared" si="255"/>
        <v>0</v>
      </c>
      <c r="BU311" s="15">
        <f t="shared" si="243"/>
        <v>0</v>
      </c>
      <c r="BV311" s="15">
        <f t="shared" si="256"/>
        <v>0</v>
      </c>
      <c r="BW311" s="15">
        <f t="shared" si="257"/>
        <v>0</v>
      </c>
      <c r="BX311" s="15">
        <f t="shared" si="267"/>
        <v>0</v>
      </c>
      <c r="BY311" s="15">
        <f t="shared" si="268"/>
        <v>0</v>
      </c>
      <c r="BZ311" s="1" t="e">
        <f t="shared" si="247"/>
        <v>#DIV/0!</v>
      </c>
      <c r="CA311" s="78"/>
      <c r="CG311" s="15">
        <f>COUNTIF(CB311:CF311,"PR")</f>
        <v>0</v>
      </c>
      <c r="CH311" s="15">
        <f>COUNTIF(CB311:CF311,"AB")</f>
        <v>0</v>
      </c>
      <c r="CI311" s="15">
        <f t="shared" si="258"/>
        <v>0</v>
      </c>
      <c r="CN311" s="15">
        <f>COUNTIF(CJ311:CM311,"PR")</f>
        <v>0</v>
      </c>
      <c r="CO311" s="15">
        <f>COUNTIF(CJ311:CM311,"AB")</f>
        <v>0</v>
      </c>
      <c r="CP311" s="15">
        <f t="shared" si="259"/>
        <v>0</v>
      </c>
      <c r="CU311" s="15">
        <f t="shared" si="244"/>
        <v>0</v>
      </c>
      <c r="CV311" s="15">
        <f t="shared" si="269"/>
        <v>0</v>
      </c>
      <c r="CW311" s="15">
        <f t="shared" si="270"/>
        <v>0</v>
      </c>
      <c r="CX311" s="15">
        <f>CG311+CN311+CU311</f>
        <v>0</v>
      </c>
      <c r="CY311" s="15" t="e">
        <f>SUM(CE311,#REF!,CS311)</f>
        <v>#REF!</v>
      </c>
      <c r="CZ311" s="1" t="e">
        <f t="shared" si="248"/>
        <v>#REF!</v>
      </c>
      <c r="DA311" s="78"/>
    </row>
    <row r="312" spans="1:105">
      <c r="A312" s="87"/>
      <c r="B312" s="14"/>
      <c r="H312" s="15">
        <f t="shared" si="262"/>
        <v>0</v>
      </c>
      <c r="I312" s="18">
        <f t="shared" si="263"/>
        <v>0</v>
      </c>
      <c r="J312" s="15">
        <f t="shared" si="264"/>
        <v>0</v>
      </c>
      <c r="O312" s="15">
        <f t="shared" si="238"/>
        <v>0</v>
      </c>
      <c r="P312" s="18">
        <f t="shared" si="265"/>
        <v>0</v>
      </c>
      <c r="Q312" s="15">
        <f t="shared" si="266"/>
        <v>0</v>
      </c>
      <c r="V312" s="15">
        <f t="shared" si="271"/>
        <v>0</v>
      </c>
      <c r="W312" s="15">
        <f t="shared" si="272"/>
        <v>0</v>
      </c>
      <c r="X312" s="15">
        <f t="shared" si="261"/>
        <v>0</v>
      </c>
      <c r="Y312" s="15">
        <f>J312+Q312+X312</f>
        <v>0</v>
      </c>
      <c r="Z312" s="15">
        <f>SUM(H312,O312,V312)</f>
        <v>0</v>
      </c>
      <c r="AA312" s="78" t="e">
        <f t="shared" si="245"/>
        <v>#DIV/0!</v>
      </c>
      <c r="AB312" s="78"/>
      <c r="AG312" s="15">
        <f t="shared" si="239"/>
        <v>0</v>
      </c>
      <c r="AH312" s="15">
        <f t="shared" si="249"/>
        <v>0</v>
      </c>
      <c r="AI312" s="15">
        <f t="shared" si="250"/>
        <v>0</v>
      </c>
      <c r="AO312" s="15">
        <f t="shared" si="240"/>
        <v>0</v>
      </c>
      <c r="AP312" s="15">
        <f t="shared" si="251"/>
        <v>0</v>
      </c>
      <c r="AQ312" s="15">
        <f t="shared" si="252"/>
        <v>0</v>
      </c>
      <c r="AV312" s="15">
        <f>COUNTIF(AR312:AU312,"PR")</f>
        <v>0</v>
      </c>
      <c r="AW312" s="15">
        <f t="shared" si="273"/>
        <v>0</v>
      </c>
      <c r="AX312" s="15">
        <f t="shared" si="260"/>
        <v>0</v>
      </c>
      <c r="AY312" s="15">
        <f>AI312+AQ312+AX312</f>
        <v>0</v>
      </c>
      <c r="AZ312" s="15">
        <f>SUM(AG312,AO312,AV312)</f>
        <v>0</v>
      </c>
      <c r="BA312" s="78" t="e">
        <f t="shared" si="246"/>
        <v>#DIV/0!</v>
      </c>
      <c r="BD312" s="1"/>
      <c r="BF312" s="15">
        <f t="shared" si="241"/>
        <v>0</v>
      </c>
      <c r="BG312" s="15">
        <f t="shared" si="253"/>
        <v>0</v>
      </c>
      <c r="BH312" s="15">
        <f t="shared" si="254"/>
        <v>0</v>
      </c>
      <c r="BN312" s="15">
        <f t="shared" si="242"/>
        <v>0</v>
      </c>
      <c r="BO312" s="15">
        <f t="shared" si="274"/>
        <v>0</v>
      </c>
      <c r="BP312" s="15">
        <f t="shared" si="255"/>
        <v>0</v>
      </c>
      <c r="BU312" s="15">
        <f t="shared" si="243"/>
        <v>0</v>
      </c>
      <c r="BV312" s="15">
        <f t="shared" si="256"/>
        <v>0</v>
      </c>
      <c r="BW312" s="15">
        <f t="shared" si="257"/>
        <v>0</v>
      </c>
      <c r="BX312" s="15">
        <f t="shared" si="267"/>
        <v>0</v>
      </c>
      <c r="BY312" s="15">
        <f t="shared" si="268"/>
        <v>0</v>
      </c>
      <c r="BZ312" s="1" t="e">
        <f t="shared" si="247"/>
        <v>#DIV/0!</v>
      </c>
      <c r="CA312" s="78"/>
      <c r="CG312" s="15">
        <f>COUNTIF(CB312:CF312,"PR")</f>
        <v>0</v>
      </c>
      <c r="CH312" s="15">
        <f>COUNTIF(CB312:CF312,"AB")</f>
        <v>0</v>
      </c>
      <c r="CI312" s="15">
        <f t="shared" si="258"/>
        <v>0</v>
      </c>
      <c r="CN312" s="15">
        <f>COUNTIF(CJ312:CM312,"PR")</f>
        <v>0</v>
      </c>
      <c r="CO312" s="15">
        <f>COUNTIF(CJ312:CM312,"AB")</f>
        <v>0</v>
      </c>
      <c r="CP312" s="15">
        <f t="shared" si="259"/>
        <v>0</v>
      </c>
      <c r="CU312" s="15">
        <f t="shared" si="244"/>
        <v>0</v>
      </c>
      <c r="CV312" s="15">
        <f t="shared" si="269"/>
        <v>0</v>
      </c>
      <c r="CW312" s="15">
        <f t="shared" si="270"/>
        <v>0</v>
      </c>
      <c r="CX312" s="15">
        <f>CG312+CN312+CU312</f>
        <v>0</v>
      </c>
      <c r="CY312" s="15" t="e">
        <f>SUM(CE312,#REF!,CS312)</f>
        <v>#REF!</v>
      </c>
      <c r="CZ312" s="1" t="e">
        <f t="shared" si="248"/>
        <v>#REF!</v>
      </c>
      <c r="DA312" s="78"/>
    </row>
    <row r="313" spans="1:105">
      <c r="A313" s="87"/>
      <c r="B313" s="14"/>
      <c r="H313" s="15">
        <f t="shared" si="262"/>
        <v>0</v>
      </c>
      <c r="I313" s="18">
        <f t="shared" si="263"/>
        <v>0</v>
      </c>
      <c r="J313" s="15">
        <f t="shared" si="264"/>
        <v>0</v>
      </c>
      <c r="O313" s="15">
        <f t="shared" si="238"/>
        <v>0</v>
      </c>
      <c r="P313" s="18">
        <f t="shared" si="265"/>
        <v>0</v>
      </c>
      <c r="Q313" s="15">
        <f t="shared" si="266"/>
        <v>0</v>
      </c>
      <c r="V313" s="15">
        <f t="shared" si="271"/>
        <v>0</v>
      </c>
      <c r="W313" s="15">
        <f t="shared" si="272"/>
        <v>0</v>
      </c>
      <c r="X313" s="15">
        <f t="shared" si="261"/>
        <v>0</v>
      </c>
      <c r="Y313" s="15">
        <f>J313+Q313+X313</f>
        <v>0</v>
      </c>
      <c r="Z313" s="15">
        <f>SUM(H313,O313,V313)</f>
        <v>0</v>
      </c>
      <c r="AA313" s="78" t="e">
        <f t="shared" si="245"/>
        <v>#DIV/0!</v>
      </c>
      <c r="AB313" s="78"/>
      <c r="AG313" s="15">
        <f t="shared" si="239"/>
        <v>0</v>
      </c>
      <c r="AH313" s="15">
        <f t="shared" si="249"/>
        <v>0</v>
      </c>
      <c r="AI313" s="15">
        <f t="shared" si="250"/>
        <v>0</v>
      </c>
      <c r="AO313" s="15">
        <f t="shared" si="240"/>
        <v>0</v>
      </c>
      <c r="AP313" s="15">
        <f t="shared" si="251"/>
        <v>0</v>
      </c>
      <c r="AQ313" s="15">
        <f t="shared" si="252"/>
        <v>0</v>
      </c>
      <c r="AV313" s="15">
        <f>COUNTIF(AR313:AU313,"PR")</f>
        <v>0</v>
      </c>
      <c r="AW313" s="15">
        <f t="shared" si="273"/>
        <v>0</v>
      </c>
      <c r="AX313" s="15">
        <f t="shared" si="260"/>
        <v>0</v>
      </c>
      <c r="AY313" s="15">
        <f>AI313+AQ313+AX313</f>
        <v>0</v>
      </c>
      <c r="AZ313" s="15">
        <f>SUM(AG313,AO313,AV313)</f>
        <v>0</v>
      </c>
      <c r="BA313" s="78" t="e">
        <f t="shared" si="246"/>
        <v>#DIV/0!</v>
      </c>
      <c r="BD313" s="1"/>
      <c r="BF313" s="15">
        <f t="shared" si="241"/>
        <v>0</v>
      </c>
      <c r="BG313" s="15">
        <f t="shared" si="253"/>
        <v>0</v>
      </c>
      <c r="BH313" s="15">
        <f t="shared" si="254"/>
        <v>0</v>
      </c>
      <c r="BN313" s="15">
        <f t="shared" si="242"/>
        <v>0</v>
      </c>
      <c r="BO313" s="15">
        <f t="shared" si="274"/>
        <v>0</v>
      </c>
      <c r="BP313" s="15">
        <f t="shared" si="255"/>
        <v>0</v>
      </c>
      <c r="BU313" s="15">
        <f t="shared" si="243"/>
        <v>0</v>
      </c>
      <c r="BV313" s="15">
        <f t="shared" si="256"/>
        <v>0</v>
      </c>
      <c r="BW313" s="15">
        <f t="shared" si="257"/>
        <v>0</v>
      </c>
      <c r="BX313" s="15">
        <f t="shared" si="267"/>
        <v>0</v>
      </c>
      <c r="BY313" s="15">
        <f t="shared" si="268"/>
        <v>0</v>
      </c>
      <c r="BZ313" s="1" t="e">
        <f t="shared" si="247"/>
        <v>#DIV/0!</v>
      </c>
      <c r="CA313" s="78"/>
      <c r="CG313" s="15">
        <f>COUNTIF(CB313:CF313,"PR")</f>
        <v>0</v>
      </c>
      <c r="CH313" s="15">
        <f>COUNTIF(CB313:CF313,"AB")</f>
        <v>0</v>
      </c>
      <c r="CI313" s="15">
        <f t="shared" si="258"/>
        <v>0</v>
      </c>
      <c r="CN313" s="15">
        <f>COUNTIF(CJ313:CM313,"PR")</f>
        <v>0</v>
      </c>
      <c r="CO313" s="15">
        <f>COUNTIF(CJ313:CM313,"AB")</f>
        <v>0</v>
      </c>
      <c r="CP313" s="15">
        <f t="shared" si="259"/>
        <v>0</v>
      </c>
      <c r="CU313" s="15">
        <f t="shared" si="244"/>
        <v>0</v>
      </c>
      <c r="CV313" s="15">
        <f t="shared" si="269"/>
        <v>0</v>
      </c>
      <c r="CW313" s="15">
        <f t="shared" si="270"/>
        <v>0</v>
      </c>
      <c r="CX313" s="15">
        <f>CG313+CN313+CU313</f>
        <v>0</v>
      </c>
      <c r="CY313" s="15" t="e">
        <f>SUM(CE313,#REF!,CS313)</f>
        <v>#REF!</v>
      </c>
      <c r="CZ313" s="1" t="e">
        <f t="shared" si="248"/>
        <v>#REF!</v>
      </c>
      <c r="DA313" s="78"/>
    </row>
    <row r="314" spans="1:105">
      <c r="A314" s="87"/>
      <c r="B314" s="14"/>
      <c r="H314" s="15">
        <f t="shared" si="262"/>
        <v>0</v>
      </c>
      <c r="I314" s="18">
        <f t="shared" si="263"/>
        <v>0</v>
      </c>
      <c r="J314" s="15">
        <f t="shared" si="264"/>
        <v>0</v>
      </c>
      <c r="O314" s="15">
        <f t="shared" si="238"/>
        <v>0</v>
      </c>
      <c r="P314" s="18">
        <f t="shared" si="265"/>
        <v>0</v>
      </c>
      <c r="Q314" s="15">
        <f t="shared" si="266"/>
        <v>0</v>
      </c>
      <c r="V314" s="15">
        <f t="shared" si="271"/>
        <v>0</v>
      </c>
      <c r="W314" s="15">
        <f t="shared" si="272"/>
        <v>0</v>
      </c>
      <c r="X314" s="15">
        <f t="shared" si="261"/>
        <v>0</v>
      </c>
      <c r="Y314" s="15">
        <f>J314+Q314+X314</f>
        <v>0</v>
      </c>
      <c r="Z314" s="15">
        <f>SUM(H314,O314,V314)</f>
        <v>0</v>
      </c>
      <c r="AA314" s="78" t="e">
        <f t="shared" si="245"/>
        <v>#DIV/0!</v>
      </c>
      <c r="AB314" s="78"/>
      <c r="AG314" s="15">
        <f t="shared" si="239"/>
        <v>0</v>
      </c>
      <c r="AH314" s="15">
        <f t="shared" si="249"/>
        <v>0</v>
      </c>
      <c r="AI314" s="15">
        <f t="shared" si="250"/>
        <v>0</v>
      </c>
      <c r="AO314" s="15">
        <f t="shared" si="240"/>
        <v>0</v>
      </c>
      <c r="AP314" s="15">
        <f t="shared" si="251"/>
        <v>0</v>
      </c>
      <c r="AQ314" s="15">
        <f t="shared" si="252"/>
        <v>0</v>
      </c>
      <c r="AV314" s="15">
        <f>COUNTIF(AR314:AU314,"PR")</f>
        <v>0</v>
      </c>
      <c r="AW314" s="15">
        <f t="shared" si="273"/>
        <v>0</v>
      </c>
      <c r="AX314" s="15">
        <f t="shared" si="260"/>
        <v>0</v>
      </c>
      <c r="AY314" s="15">
        <f>AI314+AQ314+AX314</f>
        <v>0</v>
      </c>
      <c r="AZ314" s="15">
        <f>SUM(AG314,AO314,AV314)</f>
        <v>0</v>
      </c>
      <c r="BA314" s="78" t="e">
        <f t="shared" si="246"/>
        <v>#DIV/0!</v>
      </c>
      <c r="BD314" s="1"/>
      <c r="BF314" s="15">
        <f t="shared" si="241"/>
        <v>0</v>
      </c>
      <c r="BG314" s="15">
        <f t="shared" si="253"/>
        <v>0</v>
      </c>
      <c r="BH314" s="15">
        <f t="shared" si="254"/>
        <v>0</v>
      </c>
      <c r="BN314" s="15">
        <f t="shared" si="242"/>
        <v>0</v>
      </c>
      <c r="BO314" s="15">
        <f t="shared" si="274"/>
        <v>0</v>
      </c>
      <c r="BP314" s="15">
        <f t="shared" si="255"/>
        <v>0</v>
      </c>
      <c r="BU314" s="15">
        <f t="shared" si="243"/>
        <v>0</v>
      </c>
      <c r="BV314" s="15">
        <f t="shared" si="256"/>
        <v>0</v>
      </c>
      <c r="BW314" s="15">
        <f t="shared" si="257"/>
        <v>0</v>
      </c>
      <c r="BX314" s="15">
        <f t="shared" si="267"/>
        <v>0</v>
      </c>
      <c r="BY314" s="15">
        <f t="shared" si="268"/>
        <v>0</v>
      </c>
      <c r="BZ314" s="1" t="e">
        <f t="shared" si="247"/>
        <v>#DIV/0!</v>
      </c>
      <c r="CA314" s="78"/>
      <c r="CG314" s="15">
        <f>COUNTIF(CB314:CF314,"PR")</f>
        <v>0</v>
      </c>
      <c r="CH314" s="15">
        <f>COUNTIF(CB314:CF314,"AB")</f>
        <v>0</v>
      </c>
      <c r="CI314" s="15">
        <f t="shared" si="258"/>
        <v>0</v>
      </c>
      <c r="CN314" s="15">
        <f>COUNTIF(CJ314:CM314,"PR")</f>
        <v>0</v>
      </c>
      <c r="CO314" s="15">
        <f>COUNTIF(CJ314:CM314,"AB")</f>
        <v>0</v>
      </c>
      <c r="CP314" s="15">
        <f t="shared" si="259"/>
        <v>0</v>
      </c>
      <c r="CU314" s="15">
        <f t="shared" si="244"/>
        <v>0</v>
      </c>
      <c r="CV314" s="15">
        <f t="shared" si="269"/>
        <v>0</v>
      </c>
      <c r="CW314" s="15">
        <f t="shared" si="270"/>
        <v>0</v>
      </c>
      <c r="CX314" s="15">
        <f>CG314+CN314+CU314</f>
        <v>0</v>
      </c>
      <c r="CY314" s="15" t="e">
        <f>SUM(CE314,#REF!,CS314)</f>
        <v>#REF!</v>
      </c>
      <c r="CZ314" s="1" t="e">
        <f t="shared" si="248"/>
        <v>#REF!</v>
      </c>
      <c r="DA314" s="78"/>
    </row>
    <row r="315" spans="1:105">
      <c r="A315" s="87"/>
      <c r="B315" s="14"/>
      <c r="H315" s="15">
        <f t="shared" si="262"/>
        <v>0</v>
      </c>
      <c r="I315" s="18">
        <f t="shared" si="263"/>
        <v>0</v>
      </c>
      <c r="J315" s="15">
        <f t="shared" si="264"/>
        <v>0</v>
      </c>
      <c r="O315" s="15">
        <f t="shared" si="238"/>
        <v>0</v>
      </c>
      <c r="P315" s="18">
        <f t="shared" si="265"/>
        <v>0</v>
      </c>
      <c r="Q315" s="15">
        <f t="shared" si="266"/>
        <v>0</v>
      </c>
      <c r="V315" s="15">
        <f t="shared" si="271"/>
        <v>0</v>
      </c>
      <c r="W315" s="15">
        <f t="shared" si="272"/>
        <v>0</v>
      </c>
      <c r="X315" s="15">
        <f t="shared" si="261"/>
        <v>0</v>
      </c>
      <c r="Y315" s="15">
        <f>J315+Q315+X315</f>
        <v>0</v>
      </c>
      <c r="Z315" s="15">
        <f>SUM(H315,O315,V315)</f>
        <v>0</v>
      </c>
      <c r="AA315" s="78" t="e">
        <f t="shared" si="245"/>
        <v>#DIV/0!</v>
      </c>
      <c r="AB315" s="78"/>
      <c r="AG315" s="15">
        <f t="shared" si="239"/>
        <v>0</v>
      </c>
      <c r="AH315" s="15">
        <f t="shared" si="249"/>
        <v>0</v>
      </c>
      <c r="AI315" s="15">
        <f t="shared" si="250"/>
        <v>0</v>
      </c>
      <c r="AO315" s="15">
        <f t="shared" si="240"/>
        <v>0</v>
      </c>
      <c r="AP315" s="15">
        <f t="shared" si="251"/>
        <v>0</v>
      </c>
      <c r="AQ315" s="15">
        <f t="shared" si="252"/>
        <v>0</v>
      </c>
      <c r="AV315" s="15">
        <f>COUNTIF(AR315:AU315,"PR")</f>
        <v>0</v>
      </c>
      <c r="AW315" s="15">
        <f t="shared" si="273"/>
        <v>0</v>
      </c>
      <c r="AX315" s="15">
        <f t="shared" si="260"/>
        <v>0</v>
      </c>
      <c r="AY315" s="15">
        <f>AI315+AQ315+AX315</f>
        <v>0</v>
      </c>
      <c r="AZ315" s="15">
        <f>SUM(AG315,AO315,AV315)</f>
        <v>0</v>
      </c>
      <c r="BA315" s="78" t="e">
        <f t="shared" si="246"/>
        <v>#DIV/0!</v>
      </c>
      <c r="BD315" s="1"/>
      <c r="BF315" s="15">
        <f t="shared" si="241"/>
        <v>0</v>
      </c>
      <c r="BG315" s="15">
        <f t="shared" si="253"/>
        <v>0</v>
      </c>
      <c r="BH315" s="15">
        <f t="shared" si="254"/>
        <v>0</v>
      </c>
      <c r="BN315" s="15">
        <f t="shared" si="242"/>
        <v>0</v>
      </c>
      <c r="BO315" s="15">
        <f t="shared" si="274"/>
        <v>0</v>
      </c>
      <c r="BP315" s="15">
        <f t="shared" si="255"/>
        <v>0</v>
      </c>
      <c r="BU315" s="15">
        <f t="shared" si="243"/>
        <v>0</v>
      </c>
      <c r="BV315" s="15">
        <f t="shared" si="256"/>
        <v>0</v>
      </c>
      <c r="BW315" s="15">
        <f t="shared" si="257"/>
        <v>0</v>
      </c>
      <c r="BX315" s="15">
        <f t="shared" si="267"/>
        <v>0</v>
      </c>
      <c r="BY315" s="15">
        <f t="shared" si="268"/>
        <v>0</v>
      </c>
      <c r="BZ315" s="1" t="e">
        <f t="shared" si="247"/>
        <v>#DIV/0!</v>
      </c>
      <c r="CA315" s="78"/>
      <c r="CG315" s="15">
        <f>COUNTIF(CB315:CF315,"PR")</f>
        <v>0</v>
      </c>
      <c r="CH315" s="15">
        <f>COUNTIF(CB315:CF315,"AB")</f>
        <v>0</v>
      </c>
      <c r="CI315" s="15">
        <f t="shared" si="258"/>
        <v>0</v>
      </c>
      <c r="CN315" s="15">
        <f>COUNTIF(CJ315:CM315,"PR")</f>
        <v>0</v>
      </c>
      <c r="CO315" s="15">
        <f>COUNTIF(CJ315:CM315,"AB")</f>
        <v>0</v>
      </c>
      <c r="CP315" s="15">
        <f t="shared" si="259"/>
        <v>0</v>
      </c>
      <c r="CU315" s="15">
        <f t="shared" si="244"/>
        <v>0</v>
      </c>
      <c r="CV315" s="15">
        <f t="shared" si="269"/>
        <v>0</v>
      </c>
      <c r="CW315" s="15">
        <f t="shared" si="270"/>
        <v>0</v>
      </c>
      <c r="CX315" s="15">
        <f>CG315+CN315+CU315</f>
        <v>0</v>
      </c>
      <c r="CY315" s="15" t="e">
        <f>SUM(CE315,#REF!,CS315)</f>
        <v>#REF!</v>
      </c>
      <c r="CZ315" s="1" t="e">
        <f t="shared" si="248"/>
        <v>#REF!</v>
      </c>
      <c r="DA315" s="78"/>
    </row>
    <row r="316" spans="1:105">
      <c r="A316" s="87"/>
      <c r="B316" s="14"/>
      <c r="H316" s="15">
        <f t="shared" si="262"/>
        <v>0</v>
      </c>
      <c r="I316" s="18">
        <f t="shared" si="263"/>
        <v>0</v>
      </c>
      <c r="J316" s="15">
        <f t="shared" si="264"/>
        <v>0</v>
      </c>
      <c r="O316" s="15">
        <f t="shared" si="238"/>
        <v>0</v>
      </c>
      <c r="P316" s="18">
        <f t="shared" si="265"/>
        <v>0</v>
      </c>
      <c r="Q316" s="15">
        <f t="shared" si="266"/>
        <v>0</v>
      </c>
      <c r="V316" s="15">
        <f t="shared" si="271"/>
        <v>0</v>
      </c>
      <c r="W316" s="15">
        <f t="shared" si="272"/>
        <v>0</v>
      </c>
      <c r="X316" s="15">
        <f t="shared" si="261"/>
        <v>0</v>
      </c>
      <c r="Y316" s="15">
        <f>J316+Q316+X316</f>
        <v>0</v>
      </c>
      <c r="Z316" s="15">
        <f>SUM(H316,O316,V316)</f>
        <v>0</v>
      </c>
      <c r="AA316" s="78" t="e">
        <f t="shared" si="245"/>
        <v>#DIV/0!</v>
      </c>
      <c r="AB316" s="78"/>
      <c r="AG316" s="15">
        <f t="shared" si="239"/>
        <v>0</v>
      </c>
      <c r="AH316" s="15">
        <f t="shared" si="249"/>
        <v>0</v>
      </c>
      <c r="AI316" s="15">
        <f t="shared" si="250"/>
        <v>0</v>
      </c>
      <c r="AO316" s="15">
        <f t="shared" si="240"/>
        <v>0</v>
      </c>
      <c r="AP316" s="15">
        <f t="shared" si="251"/>
        <v>0</v>
      </c>
      <c r="AQ316" s="15">
        <f t="shared" si="252"/>
        <v>0</v>
      </c>
      <c r="AV316" s="15">
        <f>COUNTIF(AR316:AU316,"PR")</f>
        <v>0</v>
      </c>
      <c r="AW316" s="15">
        <f t="shared" si="273"/>
        <v>0</v>
      </c>
      <c r="AX316" s="15">
        <f t="shared" si="260"/>
        <v>0</v>
      </c>
      <c r="AY316" s="15">
        <f>AI316+AQ316+AX316</f>
        <v>0</v>
      </c>
      <c r="AZ316" s="15">
        <f>SUM(AG316,AO316,AV316)</f>
        <v>0</v>
      </c>
      <c r="BA316" s="78" t="e">
        <f t="shared" si="246"/>
        <v>#DIV/0!</v>
      </c>
      <c r="BD316" s="1"/>
      <c r="BF316" s="15">
        <f t="shared" si="241"/>
        <v>0</v>
      </c>
      <c r="BG316" s="15">
        <f t="shared" si="253"/>
        <v>0</v>
      </c>
      <c r="BH316" s="15">
        <f t="shared" si="254"/>
        <v>0</v>
      </c>
      <c r="BN316" s="15">
        <f t="shared" si="242"/>
        <v>0</v>
      </c>
      <c r="BO316" s="15">
        <f t="shared" si="274"/>
        <v>0</v>
      </c>
      <c r="BP316" s="15">
        <f t="shared" si="255"/>
        <v>0</v>
      </c>
      <c r="BU316" s="15">
        <f t="shared" si="243"/>
        <v>0</v>
      </c>
      <c r="BV316" s="15">
        <f t="shared" si="256"/>
        <v>0</v>
      </c>
      <c r="BW316" s="15">
        <f t="shared" si="257"/>
        <v>0</v>
      </c>
      <c r="BX316" s="15">
        <f t="shared" si="267"/>
        <v>0</v>
      </c>
      <c r="BY316" s="15">
        <f t="shared" si="268"/>
        <v>0</v>
      </c>
      <c r="BZ316" s="1" t="e">
        <f t="shared" si="247"/>
        <v>#DIV/0!</v>
      </c>
      <c r="CA316" s="78"/>
      <c r="CG316" s="15">
        <f>COUNTIF(CB316:CF316,"PR")</f>
        <v>0</v>
      </c>
      <c r="CH316" s="15">
        <f>COUNTIF(CB316:CF316,"AB")</f>
        <v>0</v>
      </c>
      <c r="CI316" s="15">
        <f t="shared" si="258"/>
        <v>0</v>
      </c>
      <c r="CN316" s="15">
        <f>COUNTIF(CJ316:CM316,"PR")</f>
        <v>0</v>
      </c>
      <c r="CO316" s="15">
        <f>COUNTIF(CJ316:CM316,"AB")</f>
        <v>0</v>
      </c>
      <c r="CP316" s="15">
        <f t="shared" si="259"/>
        <v>0</v>
      </c>
      <c r="CU316" s="15">
        <f t="shared" si="244"/>
        <v>0</v>
      </c>
      <c r="CV316" s="15">
        <f t="shared" si="269"/>
        <v>0</v>
      </c>
      <c r="CW316" s="15">
        <f t="shared" si="270"/>
        <v>0</v>
      </c>
      <c r="CX316" s="15">
        <f>CG316+CN316+CU316</f>
        <v>0</v>
      </c>
      <c r="CY316" s="15" t="e">
        <f>SUM(CE316,#REF!,CS316)</f>
        <v>#REF!</v>
      </c>
      <c r="CZ316" s="1" t="e">
        <f t="shared" si="248"/>
        <v>#REF!</v>
      </c>
      <c r="DA316" s="78"/>
    </row>
    <row r="317" spans="1:105">
      <c r="A317" s="87"/>
      <c r="B317" s="14"/>
      <c r="H317" s="15">
        <f t="shared" si="262"/>
        <v>0</v>
      </c>
      <c r="I317" s="18">
        <f t="shared" si="263"/>
        <v>0</v>
      </c>
      <c r="J317" s="15">
        <f t="shared" si="264"/>
        <v>0</v>
      </c>
      <c r="O317" s="15">
        <f t="shared" si="238"/>
        <v>0</v>
      </c>
      <c r="P317" s="18">
        <f t="shared" si="265"/>
        <v>0</v>
      </c>
      <c r="Q317" s="15">
        <f t="shared" si="266"/>
        <v>0</v>
      </c>
      <c r="V317" s="15">
        <f t="shared" si="271"/>
        <v>0</v>
      </c>
      <c r="W317" s="15">
        <f t="shared" si="272"/>
        <v>0</v>
      </c>
      <c r="X317" s="15">
        <f t="shared" si="261"/>
        <v>0</v>
      </c>
      <c r="Y317" s="15">
        <f>J317+Q317+X317</f>
        <v>0</v>
      </c>
      <c r="Z317" s="15">
        <f>SUM(H317,O317,V317)</f>
        <v>0</v>
      </c>
      <c r="AA317" s="78" t="e">
        <f t="shared" si="245"/>
        <v>#DIV/0!</v>
      </c>
      <c r="AB317" s="78"/>
      <c r="AG317" s="15">
        <f t="shared" si="239"/>
        <v>0</v>
      </c>
      <c r="AH317" s="15">
        <f t="shared" si="249"/>
        <v>0</v>
      </c>
      <c r="AI317" s="15">
        <f t="shared" si="250"/>
        <v>0</v>
      </c>
      <c r="AO317" s="15">
        <f t="shared" si="240"/>
        <v>0</v>
      </c>
      <c r="AP317" s="15">
        <f t="shared" si="251"/>
        <v>0</v>
      </c>
      <c r="AQ317" s="15">
        <f t="shared" si="252"/>
        <v>0</v>
      </c>
      <c r="AV317" s="15">
        <f>COUNTIF(AR317:AU317,"PR")</f>
        <v>0</v>
      </c>
      <c r="AW317" s="15">
        <f t="shared" si="273"/>
        <v>0</v>
      </c>
      <c r="AX317" s="15">
        <f t="shared" si="260"/>
        <v>0</v>
      </c>
      <c r="AY317" s="15">
        <f>AI317+AQ317+AX317</f>
        <v>0</v>
      </c>
      <c r="AZ317" s="15">
        <f>SUM(AG317,AO317,AV317)</f>
        <v>0</v>
      </c>
      <c r="BA317" s="78" t="e">
        <f t="shared" si="246"/>
        <v>#DIV/0!</v>
      </c>
      <c r="BD317" s="1"/>
      <c r="BF317" s="15">
        <f t="shared" si="241"/>
        <v>0</v>
      </c>
      <c r="BG317" s="15">
        <f t="shared" si="253"/>
        <v>0</v>
      </c>
      <c r="BH317" s="15">
        <f t="shared" si="254"/>
        <v>0</v>
      </c>
      <c r="BN317" s="15">
        <f t="shared" si="242"/>
        <v>0</v>
      </c>
      <c r="BO317" s="15">
        <f t="shared" si="274"/>
        <v>0</v>
      </c>
      <c r="BP317" s="15">
        <f t="shared" si="255"/>
        <v>0</v>
      </c>
      <c r="BU317" s="15">
        <f t="shared" si="243"/>
        <v>0</v>
      </c>
      <c r="BV317" s="15">
        <f t="shared" si="256"/>
        <v>0</v>
      </c>
      <c r="BW317" s="15">
        <f t="shared" si="257"/>
        <v>0</v>
      </c>
      <c r="BX317" s="15">
        <f t="shared" si="267"/>
        <v>0</v>
      </c>
      <c r="BY317" s="15">
        <f t="shared" si="268"/>
        <v>0</v>
      </c>
      <c r="BZ317" s="1" t="e">
        <f t="shared" si="247"/>
        <v>#DIV/0!</v>
      </c>
      <c r="CA317" s="78"/>
      <c r="CG317" s="15">
        <f>COUNTIF(CB317:CF317,"PR")</f>
        <v>0</v>
      </c>
      <c r="CH317" s="15">
        <f>COUNTIF(CB317:CF317,"AB")</f>
        <v>0</v>
      </c>
      <c r="CI317" s="15">
        <f t="shared" si="258"/>
        <v>0</v>
      </c>
      <c r="CN317" s="15">
        <f>COUNTIF(CJ317:CM317,"PR")</f>
        <v>0</v>
      </c>
      <c r="CO317" s="15">
        <f>COUNTIF(CJ317:CM317,"AB")</f>
        <v>0</v>
      </c>
      <c r="CP317" s="15">
        <f t="shared" si="259"/>
        <v>0</v>
      </c>
      <c r="CU317" s="15">
        <f t="shared" si="244"/>
        <v>0</v>
      </c>
      <c r="CV317" s="15">
        <f t="shared" si="269"/>
        <v>0</v>
      </c>
      <c r="CW317" s="15">
        <f t="shared" si="270"/>
        <v>0</v>
      </c>
      <c r="CX317" s="15">
        <f>CG317+CN317+CU317</f>
        <v>0</v>
      </c>
      <c r="CY317" s="15" t="e">
        <f>SUM(CE317,#REF!,CS317)</f>
        <v>#REF!</v>
      </c>
      <c r="CZ317" s="1" t="e">
        <f t="shared" si="248"/>
        <v>#REF!</v>
      </c>
      <c r="DA317" s="78"/>
    </row>
    <row r="318" spans="1:105">
      <c r="A318" s="87"/>
      <c r="B318" s="14"/>
      <c r="H318" s="15">
        <f t="shared" si="262"/>
        <v>0</v>
      </c>
      <c r="I318" s="18">
        <f t="shared" si="263"/>
        <v>0</v>
      </c>
      <c r="J318" s="15">
        <f t="shared" si="264"/>
        <v>0</v>
      </c>
      <c r="O318" s="15">
        <f t="shared" si="238"/>
        <v>0</v>
      </c>
      <c r="P318" s="18">
        <f t="shared" si="265"/>
        <v>0</v>
      </c>
      <c r="Q318" s="15">
        <f t="shared" si="266"/>
        <v>0</v>
      </c>
      <c r="V318" s="15">
        <f t="shared" si="271"/>
        <v>0</v>
      </c>
      <c r="W318" s="15">
        <f t="shared" si="272"/>
        <v>0</v>
      </c>
      <c r="X318" s="15">
        <f t="shared" si="261"/>
        <v>0</v>
      </c>
      <c r="Y318" s="15">
        <f>J318+Q318+X318</f>
        <v>0</v>
      </c>
      <c r="Z318" s="15">
        <f>SUM(H318,O318,V318)</f>
        <v>0</v>
      </c>
      <c r="AA318" s="78" t="e">
        <f t="shared" si="245"/>
        <v>#DIV/0!</v>
      </c>
      <c r="AB318" s="78"/>
      <c r="AG318" s="15">
        <f t="shared" si="239"/>
        <v>0</v>
      </c>
      <c r="AH318" s="15">
        <f t="shared" si="249"/>
        <v>0</v>
      </c>
      <c r="AI318" s="15">
        <f t="shared" si="250"/>
        <v>0</v>
      </c>
      <c r="AO318" s="15">
        <f t="shared" si="240"/>
        <v>0</v>
      </c>
      <c r="AP318" s="15">
        <f t="shared" si="251"/>
        <v>0</v>
      </c>
      <c r="AQ318" s="15">
        <f t="shared" si="252"/>
        <v>0</v>
      </c>
      <c r="AV318" s="15">
        <f>COUNTIF(AR318:AU318,"PR")</f>
        <v>0</v>
      </c>
      <c r="AW318" s="15">
        <f t="shared" si="273"/>
        <v>0</v>
      </c>
      <c r="AX318" s="15">
        <f t="shared" si="260"/>
        <v>0</v>
      </c>
      <c r="AY318" s="15">
        <f>AI318+AQ318+AX318</f>
        <v>0</v>
      </c>
      <c r="AZ318" s="15">
        <f>SUM(AG318,AO318,AV318)</f>
        <v>0</v>
      </c>
      <c r="BA318" s="78" t="e">
        <f t="shared" si="246"/>
        <v>#DIV/0!</v>
      </c>
      <c r="BD318" s="1"/>
      <c r="BF318" s="15">
        <f t="shared" si="241"/>
        <v>0</v>
      </c>
      <c r="BG318" s="15">
        <f t="shared" si="253"/>
        <v>0</v>
      </c>
      <c r="BH318" s="15">
        <f t="shared" si="254"/>
        <v>0</v>
      </c>
      <c r="BN318" s="15">
        <f t="shared" si="242"/>
        <v>0</v>
      </c>
      <c r="BO318" s="15">
        <f t="shared" si="274"/>
        <v>0</v>
      </c>
      <c r="BP318" s="15">
        <f t="shared" si="255"/>
        <v>0</v>
      </c>
      <c r="BU318" s="15">
        <f t="shared" si="243"/>
        <v>0</v>
      </c>
      <c r="BV318" s="15">
        <f t="shared" si="256"/>
        <v>0</v>
      </c>
      <c r="BW318" s="15">
        <f t="shared" si="257"/>
        <v>0</v>
      </c>
      <c r="BX318" s="15">
        <f t="shared" si="267"/>
        <v>0</v>
      </c>
      <c r="BY318" s="15">
        <f t="shared" si="268"/>
        <v>0</v>
      </c>
      <c r="BZ318" s="1" t="e">
        <f t="shared" si="247"/>
        <v>#DIV/0!</v>
      </c>
      <c r="CA318" s="78"/>
      <c r="CG318" s="15">
        <f>COUNTIF(CB318:CF318,"PR")</f>
        <v>0</v>
      </c>
      <c r="CH318" s="15">
        <f>COUNTIF(CB318:CF318,"AB")</f>
        <v>0</v>
      </c>
      <c r="CI318" s="15">
        <f t="shared" si="258"/>
        <v>0</v>
      </c>
      <c r="CN318" s="15">
        <f>COUNTIF(CJ318:CM318,"PR")</f>
        <v>0</v>
      </c>
      <c r="CO318" s="15">
        <f>COUNTIF(CJ318:CM318,"AB")</f>
        <v>0</v>
      </c>
      <c r="CP318" s="15">
        <f t="shared" si="259"/>
        <v>0</v>
      </c>
      <c r="CU318" s="15">
        <f t="shared" si="244"/>
        <v>0</v>
      </c>
      <c r="CV318" s="15">
        <f t="shared" si="269"/>
        <v>0</v>
      </c>
      <c r="CW318" s="15">
        <f t="shared" si="270"/>
        <v>0</v>
      </c>
      <c r="CX318" s="15">
        <f>CG318+CN318+CU318</f>
        <v>0</v>
      </c>
      <c r="CY318" s="15" t="e">
        <f>SUM(CE318,#REF!,CS318)</f>
        <v>#REF!</v>
      </c>
      <c r="CZ318" s="1" t="e">
        <f t="shared" si="248"/>
        <v>#REF!</v>
      </c>
      <c r="DA318" s="78"/>
    </row>
    <row r="319" spans="1:105">
      <c r="A319" s="87"/>
      <c r="B319" s="14"/>
      <c r="H319" s="15">
        <f t="shared" si="262"/>
        <v>0</v>
      </c>
      <c r="I319" s="18">
        <f t="shared" si="263"/>
        <v>0</v>
      </c>
      <c r="J319" s="15">
        <f t="shared" si="264"/>
        <v>0</v>
      </c>
      <c r="O319" s="15">
        <f t="shared" si="238"/>
        <v>0</v>
      </c>
      <c r="P319" s="18">
        <f t="shared" si="265"/>
        <v>0</v>
      </c>
      <c r="Q319" s="15">
        <f t="shared" si="266"/>
        <v>0</v>
      </c>
      <c r="V319" s="15">
        <f t="shared" si="271"/>
        <v>0</v>
      </c>
      <c r="W319" s="15">
        <f t="shared" si="272"/>
        <v>0</v>
      </c>
      <c r="X319" s="15">
        <f t="shared" si="261"/>
        <v>0</v>
      </c>
      <c r="Y319" s="15">
        <f>J319+Q319+X319</f>
        <v>0</v>
      </c>
      <c r="Z319" s="15">
        <f>SUM(H319,O319,V319)</f>
        <v>0</v>
      </c>
      <c r="AA319" s="78" t="e">
        <f t="shared" si="245"/>
        <v>#DIV/0!</v>
      </c>
      <c r="AB319" s="78"/>
      <c r="AG319" s="15">
        <f t="shared" si="239"/>
        <v>0</v>
      </c>
      <c r="AH319" s="15">
        <f t="shared" si="249"/>
        <v>0</v>
      </c>
      <c r="AI319" s="15">
        <f t="shared" si="250"/>
        <v>0</v>
      </c>
      <c r="AO319" s="15">
        <f t="shared" si="240"/>
        <v>0</v>
      </c>
      <c r="AP319" s="15">
        <f t="shared" si="251"/>
        <v>0</v>
      </c>
      <c r="AQ319" s="15">
        <f t="shared" si="252"/>
        <v>0</v>
      </c>
      <c r="AV319" s="15">
        <f>COUNTIF(AR319:AU319,"PR")</f>
        <v>0</v>
      </c>
      <c r="AW319" s="15">
        <f t="shared" si="273"/>
        <v>0</v>
      </c>
      <c r="AX319" s="15">
        <f t="shared" si="260"/>
        <v>0</v>
      </c>
      <c r="AY319" s="15">
        <f>AI319+AQ319+AX319</f>
        <v>0</v>
      </c>
      <c r="AZ319" s="15">
        <f>SUM(AG319,AO319,AV319)</f>
        <v>0</v>
      </c>
      <c r="BA319" s="78" t="e">
        <f t="shared" si="246"/>
        <v>#DIV/0!</v>
      </c>
      <c r="BD319" s="1"/>
      <c r="BF319" s="15">
        <f t="shared" si="241"/>
        <v>0</v>
      </c>
      <c r="BG319" s="15">
        <f t="shared" si="253"/>
        <v>0</v>
      </c>
      <c r="BH319" s="15">
        <f t="shared" si="254"/>
        <v>0</v>
      </c>
      <c r="BN319" s="15">
        <f t="shared" si="242"/>
        <v>0</v>
      </c>
      <c r="BO319" s="15">
        <f t="shared" si="274"/>
        <v>0</v>
      </c>
      <c r="BP319" s="15">
        <f t="shared" si="255"/>
        <v>0</v>
      </c>
      <c r="BU319" s="15">
        <f t="shared" si="243"/>
        <v>0</v>
      </c>
      <c r="BV319" s="15">
        <f t="shared" si="256"/>
        <v>0</v>
      </c>
      <c r="BW319" s="15">
        <f t="shared" si="257"/>
        <v>0</v>
      </c>
      <c r="BX319" s="15">
        <f t="shared" si="267"/>
        <v>0</v>
      </c>
      <c r="BY319" s="15">
        <f t="shared" si="268"/>
        <v>0</v>
      </c>
      <c r="BZ319" s="1" t="e">
        <f t="shared" si="247"/>
        <v>#DIV/0!</v>
      </c>
      <c r="CA319" s="78"/>
      <c r="CG319" s="15">
        <f>COUNTIF(CB319:CF319,"PR")</f>
        <v>0</v>
      </c>
      <c r="CH319" s="15">
        <f>COUNTIF(CB319:CF319,"AB")</f>
        <v>0</v>
      </c>
      <c r="CI319" s="15">
        <f t="shared" si="258"/>
        <v>0</v>
      </c>
      <c r="CN319" s="15">
        <f>COUNTIF(CJ319:CM319,"PR")</f>
        <v>0</v>
      </c>
      <c r="CO319" s="15">
        <f>COUNTIF(CJ319:CM319,"AB")</f>
        <v>0</v>
      </c>
      <c r="CP319" s="15">
        <f t="shared" si="259"/>
        <v>0</v>
      </c>
      <c r="CU319" s="15">
        <f t="shared" si="244"/>
        <v>0</v>
      </c>
      <c r="CV319" s="15">
        <f t="shared" si="269"/>
        <v>0</v>
      </c>
      <c r="CW319" s="15">
        <f t="shared" si="270"/>
        <v>0</v>
      </c>
      <c r="CX319" s="15">
        <f>CG319+CN319+CU319</f>
        <v>0</v>
      </c>
      <c r="CY319" s="15" t="e">
        <f>SUM(CE319,#REF!,CS319)</f>
        <v>#REF!</v>
      </c>
      <c r="CZ319" s="1" t="e">
        <f t="shared" si="248"/>
        <v>#REF!</v>
      </c>
      <c r="DA319" s="78"/>
    </row>
    <row r="320" spans="1:105">
      <c r="A320" s="87"/>
      <c r="B320" s="14"/>
      <c r="H320" s="15">
        <f t="shared" si="262"/>
        <v>0</v>
      </c>
      <c r="I320" s="18">
        <f t="shared" si="263"/>
        <v>0</v>
      </c>
      <c r="J320" s="15">
        <f t="shared" si="264"/>
        <v>0</v>
      </c>
      <c r="O320" s="15">
        <f t="shared" si="238"/>
        <v>0</v>
      </c>
      <c r="P320" s="18">
        <f t="shared" si="265"/>
        <v>0</v>
      </c>
      <c r="Q320" s="15">
        <f t="shared" si="266"/>
        <v>0</v>
      </c>
      <c r="V320" s="15">
        <f t="shared" si="271"/>
        <v>0</v>
      </c>
      <c r="W320" s="15">
        <f t="shared" si="272"/>
        <v>0</v>
      </c>
      <c r="X320" s="15">
        <f t="shared" si="261"/>
        <v>0</v>
      </c>
      <c r="Y320" s="15">
        <f>J320+Q320+X320</f>
        <v>0</v>
      </c>
      <c r="Z320" s="15">
        <f>SUM(H320,O320,V320)</f>
        <v>0</v>
      </c>
      <c r="AA320" s="78" t="e">
        <f t="shared" si="245"/>
        <v>#DIV/0!</v>
      </c>
      <c r="AB320" s="78"/>
      <c r="AG320" s="15">
        <f t="shared" si="239"/>
        <v>0</v>
      </c>
      <c r="AH320" s="15">
        <f t="shared" si="249"/>
        <v>0</v>
      </c>
      <c r="AI320" s="15">
        <f t="shared" si="250"/>
        <v>0</v>
      </c>
      <c r="AO320" s="15">
        <f t="shared" si="240"/>
        <v>0</v>
      </c>
      <c r="AP320" s="15">
        <f t="shared" si="251"/>
        <v>0</v>
      </c>
      <c r="AQ320" s="15">
        <f t="shared" si="252"/>
        <v>0</v>
      </c>
      <c r="AV320" s="15">
        <f>COUNTIF(AR320:AU320,"PR")</f>
        <v>0</v>
      </c>
      <c r="AW320" s="15">
        <f t="shared" si="273"/>
        <v>0</v>
      </c>
      <c r="AX320" s="15">
        <f t="shared" si="260"/>
        <v>0</v>
      </c>
      <c r="AY320" s="15">
        <f>AI320+AQ320+AX320</f>
        <v>0</v>
      </c>
      <c r="AZ320" s="15">
        <f>SUM(AG320,AO320,AV320)</f>
        <v>0</v>
      </c>
      <c r="BA320" s="78" t="e">
        <f t="shared" si="246"/>
        <v>#DIV/0!</v>
      </c>
      <c r="BD320" s="1"/>
      <c r="BF320" s="15">
        <f t="shared" si="241"/>
        <v>0</v>
      </c>
      <c r="BG320" s="15">
        <f t="shared" si="253"/>
        <v>0</v>
      </c>
      <c r="BH320" s="15">
        <f t="shared" si="254"/>
        <v>0</v>
      </c>
      <c r="BN320" s="15">
        <f t="shared" si="242"/>
        <v>0</v>
      </c>
      <c r="BO320" s="15">
        <f t="shared" si="274"/>
        <v>0</v>
      </c>
      <c r="BP320" s="15">
        <f t="shared" si="255"/>
        <v>0</v>
      </c>
      <c r="BU320" s="15">
        <f t="shared" si="243"/>
        <v>0</v>
      </c>
      <c r="BV320" s="15">
        <f t="shared" si="256"/>
        <v>0</v>
      </c>
      <c r="BW320" s="15">
        <f t="shared" si="257"/>
        <v>0</v>
      </c>
      <c r="BX320" s="15">
        <f t="shared" si="267"/>
        <v>0</v>
      </c>
      <c r="BY320" s="15">
        <f t="shared" si="268"/>
        <v>0</v>
      </c>
      <c r="BZ320" s="1" t="e">
        <f t="shared" si="247"/>
        <v>#DIV/0!</v>
      </c>
      <c r="CA320" s="78"/>
      <c r="CG320" s="15">
        <f>COUNTIF(CB320:CF320,"PR")</f>
        <v>0</v>
      </c>
      <c r="CH320" s="15">
        <f>COUNTIF(CB320:CF320,"AB")</f>
        <v>0</v>
      </c>
      <c r="CI320" s="15">
        <f t="shared" si="258"/>
        <v>0</v>
      </c>
      <c r="CN320" s="15">
        <f>COUNTIF(CJ320:CM320,"PR")</f>
        <v>0</v>
      </c>
      <c r="CO320" s="15">
        <f>COUNTIF(CJ320:CM320,"AB")</f>
        <v>0</v>
      </c>
      <c r="CP320" s="15">
        <f t="shared" si="259"/>
        <v>0</v>
      </c>
      <c r="CU320" s="15">
        <f t="shared" si="244"/>
        <v>0</v>
      </c>
      <c r="CV320" s="15">
        <f t="shared" si="269"/>
        <v>0</v>
      </c>
      <c r="CW320" s="15">
        <f t="shared" si="270"/>
        <v>0</v>
      </c>
      <c r="CX320" s="15">
        <f>CG320+CN320+CU320</f>
        <v>0</v>
      </c>
      <c r="CY320" s="15" t="e">
        <f>SUM(CE320,#REF!,CS320)</f>
        <v>#REF!</v>
      </c>
      <c r="CZ320" s="1" t="e">
        <f t="shared" si="248"/>
        <v>#REF!</v>
      </c>
      <c r="DA320" s="78"/>
    </row>
    <row r="321" spans="1:105">
      <c r="A321" s="87"/>
      <c r="B321" s="14"/>
      <c r="H321" s="15">
        <f t="shared" si="262"/>
        <v>0</v>
      </c>
      <c r="I321" s="18">
        <f t="shared" si="263"/>
        <v>0</v>
      </c>
      <c r="J321" s="15">
        <f t="shared" si="264"/>
        <v>0</v>
      </c>
      <c r="O321" s="15">
        <f t="shared" si="238"/>
        <v>0</v>
      </c>
      <c r="P321" s="18">
        <f t="shared" si="265"/>
        <v>0</v>
      </c>
      <c r="Q321" s="15">
        <f t="shared" si="266"/>
        <v>0</v>
      </c>
      <c r="V321" s="15">
        <f t="shared" si="271"/>
        <v>0</v>
      </c>
      <c r="W321" s="15">
        <f t="shared" si="272"/>
        <v>0</v>
      </c>
      <c r="X321" s="15">
        <f t="shared" si="261"/>
        <v>0</v>
      </c>
      <c r="Y321" s="15">
        <f>J321+Q321+X321</f>
        <v>0</v>
      </c>
      <c r="Z321" s="15">
        <f>SUM(H321,O321,V321)</f>
        <v>0</v>
      </c>
      <c r="AA321" s="78" t="e">
        <f t="shared" si="245"/>
        <v>#DIV/0!</v>
      </c>
      <c r="AB321" s="78"/>
      <c r="AG321" s="15">
        <f t="shared" si="239"/>
        <v>0</v>
      </c>
      <c r="AH321" s="15">
        <f t="shared" si="249"/>
        <v>0</v>
      </c>
      <c r="AI321" s="15">
        <f t="shared" si="250"/>
        <v>0</v>
      </c>
      <c r="AO321" s="15">
        <f t="shared" si="240"/>
        <v>0</v>
      </c>
      <c r="AP321" s="15">
        <f t="shared" si="251"/>
        <v>0</v>
      </c>
      <c r="AQ321" s="15">
        <f t="shared" si="252"/>
        <v>0</v>
      </c>
      <c r="AV321" s="15">
        <f>COUNTIF(AR321:AU321,"PR")</f>
        <v>0</v>
      </c>
      <c r="AW321" s="15">
        <f t="shared" si="273"/>
        <v>0</v>
      </c>
      <c r="AX321" s="15">
        <f t="shared" si="260"/>
        <v>0</v>
      </c>
      <c r="AY321" s="15">
        <f>AI321+AQ321+AX321</f>
        <v>0</v>
      </c>
      <c r="AZ321" s="15">
        <f>SUM(AG321,AO321,AV321)</f>
        <v>0</v>
      </c>
      <c r="BA321" s="78" t="e">
        <f t="shared" si="246"/>
        <v>#DIV/0!</v>
      </c>
      <c r="BD321" s="1"/>
      <c r="BF321" s="15">
        <f t="shared" si="241"/>
        <v>0</v>
      </c>
      <c r="BG321" s="15">
        <f t="shared" si="253"/>
        <v>0</v>
      </c>
      <c r="BH321" s="15">
        <f t="shared" si="254"/>
        <v>0</v>
      </c>
      <c r="BN321" s="15">
        <f t="shared" si="242"/>
        <v>0</v>
      </c>
      <c r="BO321" s="15">
        <f t="shared" si="274"/>
        <v>0</v>
      </c>
      <c r="BP321" s="15">
        <f t="shared" si="255"/>
        <v>0</v>
      </c>
      <c r="BU321" s="15">
        <f t="shared" si="243"/>
        <v>0</v>
      </c>
      <c r="BV321" s="15">
        <f t="shared" si="256"/>
        <v>0</v>
      </c>
      <c r="BW321" s="15">
        <f t="shared" si="257"/>
        <v>0</v>
      </c>
      <c r="BX321" s="15">
        <f t="shared" si="267"/>
        <v>0</v>
      </c>
      <c r="BY321" s="15">
        <f t="shared" si="268"/>
        <v>0</v>
      </c>
      <c r="BZ321" s="1" t="e">
        <f t="shared" si="247"/>
        <v>#DIV/0!</v>
      </c>
      <c r="CA321" s="78"/>
      <c r="CG321" s="15">
        <f>COUNTIF(CB321:CF321,"PR")</f>
        <v>0</v>
      </c>
      <c r="CH321" s="15">
        <f>COUNTIF(CB321:CF321,"AB")</f>
        <v>0</v>
      </c>
      <c r="CI321" s="15">
        <f t="shared" si="258"/>
        <v>0</v>
      </c>
      <c r="CN321" s="15">
        <f>COUNTIF(CJ321:CM321,"PR")</f>
        <v>0</v>
      </c>
      <c r="CO321" s="15">
        <f>COUNTIF(CJ321:CM321,"AB")</f>
        <v>0</v>
      </c>
      <c r="CP321" s="15">
        <f t="shared" si="259"/>
        <v>0</v>
      </c>
      <c r="CU321" s="15">
        <f t="shared" si="244"/>
        <v>0</v>
      </c>
      <c r="CV321" s="15">
        <f t="shared" si="269"/>
        <v>0</v>
      </c>
      <c r="CW321" s="15">
        <f t="shared" si="270"/>
        <v>0</v>
      </c>
      <c r="CX321" s="15">
        <f>CG321+CN321+CU321</f>
        <v>0</v>
      </c>
      <c r="CY321" s="15" t="e">
        <f>SUM(CE321,#REF!,CS321)</f>
        <v>#REF!</v>
      </c>
      <c r="CZ321" s="1" t="e">
        <f t="shared" si="248"/>
        <v>#REF!</v>
      </c>
      <c r="DA321" s="78"/>
    </row>
    <row r="322" spans="1:105">
      <c r="A322" s="87"/>
      <c r="B322" s="14"/>
      <c r="H322" s="15">
        <f t="shared" si="262"/>
        <v>0</v>
      </c>
      <c r="I322" s="18">
        <f t="shared" si="263"/>
        <v>0</v>
      </c>
      <c r="J322" s="15">
        <f t="shared" si="264"/>
        <v>0</v>
      </c>
      <c r="O322" s="15">
        <f t="shared" si="238"/>
        <v>0</v>
      </c>
      <c r="P322" s="18">
        <f t="shared" si="265"/>
        <v>0</v>
      </c>
      <c r="Q322" s="15">
        <f t="shared" si="266"/>
        <v>0</v>
      </c>
      <c r="V322" s="15">
        <f t="shared" si="271"/>
        <v>0</v>
      </c>
      <c r="W322" s="15">
        <f t="shared" si="272"/>
        <v>0</v>
      </c>
      <c r="X322" s="15">
        <f t="shared" si="261"/>
        <v>0</v>
      </c>
      <c r="Y322" s="15">
        <f>J322+Q322+X322</f>
        <v>0</v>
      </c>
      <c r="Z322" s="15">
        <f>SUM(H322,O322,V322)</f>
        <v>0</v>
      </c>
      <c r="AA322" s="78" t="e">
        <f t="shared" si="245"/>
        <v>#DIV/0!</v>
      </c>
      <c r="AB322" s="78"/>
      <c r="AG322" s="15">
        <f t="shared" si="239"/>
        <v>0</v>
      </c>
      <c r="AH322" s="15">
        <f t="shared" si="249"/>
        <v>0</v>
      </c>
      <c r="AI322" s="15">
        <f t="shared" si="250"/>
        <v>0</v>
      </c>
      <c r="AO322" s="15">
        <f t="shared" si="240"/>
        <v>0</v>
      </c>
      <c r="AP322" s="15">
        <f t="shared" si="251"/>
        <v>0</v>
      </c>
      <c r="AQ322" s="15">
        <f t="shared" si="252"/>
        <v>0</v>
      </c>
      <c r="AV322" s="15">
        <f>COUNTIF(AR322:AU322,"PR")</f>
        <v>0</v>
      </c>
      <c r="AW322" s="15">
        <f t="shared" si="273"/>
        <v>0</v>
      </c>
      <c r="AX322" s="15">
        <f t="shared" si="260"/>
        <v>0</v>
      </c>
      <c r="AY322" s="15">
        <f>AI322+AQ322+AX322</f>
        <v>0</v>
      </c>
      <c r="AZ322" s="15">
        <f>SUM(AG322,AO322,AV322)</f>
        <v>0</v>
      </c>
      <c r="BA322" s="78" t="e">
        <f t="shared" si="246"/>
        <v>#DIV/0!</v>
      </c>
      <c r="BD322" s="1"/>
      <c r="BF322" s="15">
        <f t="shared" si="241"/>
        <v>0</v>
      </c>
      <c r="BG322" s="15">
        <f t="shared" si="253"/>
        <v>0</v>
      </c>
      <c r="BH322" s="15">
        <f t="shared" si="254"/>
        <v>0</v>
      </c>
      <c r="BN322" s="15">
        <f t="shared" si="242"/>
        <v>0</v>
      </c>
      <c r="BO322" s="15">
        <f t="shared" si="274"/>
        <v>0</v>
      </c>
      <c r="BP322" s="15">
        <f t="shared" si="255"/>
        <v>0</v>
      </c>
      <c r="BU322" s="15">
        <f t="shared" si="243"/>
        <v>0</v>
      </c>
      <c r="BV322" s="15">
        <f t="shared" si="256"/>
        <v>0</v>
      </c>
      <c r="BW322" s="15">
        <f t="shared" si="257"/>
        <v>0</v>
      </c>
      <c r="BX322" s="15">
        <f t="shared" si="267"/>
        <v>0</v>
      </c>
      <c r="BY322" s="15">
        <f t="shared" si="268"/>
        <v>0</v>
      </c>
      <c r="BZ322" s="1" t="e">
        <f t="shared" si="247"/>
        <v>#DIV/0!</v>
      </c>
      <c r="CA322" s="78"/>
      <c r="CG322" s="15">
        <f>COUNTIF(CB322:CF322,"PR")</f>
        <v>0</v>
      </c>
      <c r="CH322" s="15">
        <f>COUNTIF(CB322:CF322,"AB")</f>
        <v>0</v>
      </c>
      <c r="CI322" s="15">
        <f t="shared" si="258"/>
        <v>0</v>
      </c>
      <c r="CN322" s="15">
        <f>COUNTIF(CJ322:CM322,"PR")</f>
        <v>0</v>
      </c>
      <c r="CO322" s="15">
        <f>COUNTIF(CJ322:CM322,"AB")</f>
        <v>0</v>
      </c>
      <c r="CP322" s="15">
        <f t="shared" si="259"/>
        <v>0</v>
      </c>
      <c r="CU322" s="15">
        <f t="shared" si="244"/>
        <v>0</v>
      </c>
      <c r="CV322" s="15">
        <f t="shared" si="269"/>
        <v>0</v>
      </c>
      <c r="CW322" s="15">
        <f t="shared" si="270"/>
        <v>0</v>
      </c>
      <c r="CX322" s="15">
        <f>CG322+CN322+CU322</f>
        <v>0</v>
      </c>
      <c r="CY322" s="15" t="e">
        <f>SUM(CE322,#REF!,CS322)</f>
        <v>#REF!</v>
      </c>
      <c r="CZ322" s="1" t="e">
        <f t="shared" si="248"/>
        <v>#REF!</v>
      </c>
      <c r="DA322" s="78"/>
    </row>
    <row r="323" spans="1:105">
      <c r="A323" s="87"/>
      <c r="B323" s="14"/>
      <c r="H323" s="15">
        <f t="shared" si="262"/>
        <v>0</v>
      </c>
      <c r="I323" s="18">
        <f t="shared" si="263"/>
        <v>0</v>
      </c>
      <c r="J323" s="15">
        <f t="shared" si="264"/>
        <v>0</v>
      </c>
      <c r="O323" s="15">
        <f t="shared" si="238"/>
        <v>0</v>
      </c>
      <c r="P323" s="18">
        <f t="shared" si="265"/>
        <v>0</v>
      </c>
      <c r="Q323" s="15">
        <f t="shared" si="266"/>
        <v>0</v>
      </c>
      <c r="V323" s="15">
        <f t="shared" si="271"/>
        <v>0</v>
      </c>
      <c r="W323" s="15">
        <f t="shared" si="272"/>
        <v>0</v>
      </c>
      <c r="X323" s="15">
        <f t="shared" si="261"/>
        <v>0</v>
      </c>
      <c r="Y323" s="15">
        <f>J323+Q323+X323</f>
        <v>0</v>
      </c>
      <c r="Z323" s="15">
        <f>SUM(H323,O323,V323)</f>
        <v>0</v>
      </c>
      <c r="AA323" s="78" t="e">
        <f t="shared" si="245"/>
        <v>#DIV/0!</v>
      </c>
      <c r="AB323" s="78"/>
      <c r="AG323" s="15">
        <f t="shared" si="239"/>
        <v>0</v>
      </c>
      <c r="AH323" s="15">
        <f t="shared" si="249"/>
        <v>0</v>
      </c>
      <c r="AI323" s="15">
        <f t="shared" si="250"/>
        <v>0</v>
      </c>
      <c r="AO323" s="15">
        <f t="shared" si="240"/>
        <v>0</v>
      </c>
      <c r="AP323" s="15">
        <f t="shared" si="251"/>
        <v>0</v>
      </c>
      <c r="AQ323" s="15">
        <f t="shared" si="252"/>
        <v>0</v>
      </c>
      <c r="AV323" s="15">
        <f>COUNTIF(AR323:AU323,"PR")</f>
        <v>0</v>
      </c>
      <c r="AW323" s="15">
        <f t="shared" si="273"/>
        <v>0</v>
      </c>
      <c r="AX323" s="15">
        <f t="shared" si="260"/>
        <v>0</v>
      </c>
      <c r="AY323" s="15">
        <f>AI323+AQ323+AX323</f>
        <v>0</v>
      </c>
      <c r="AZ323" s="15">
        <f>SUM(AG323,AO323,AV323)</f>
        <v>0</v>
      </c>
      <c r="BA323" s="78" t="e">
        <f t="shared" si="246"/>
        <v>#DIV/0!</v>
      </c>
      <c r="BD323" s="1"/>
      <c r="BF323" s="15">
        <f t="shared" si="241"/>
        <v>0</v>
      </c>
      <c r="BG323" s="15">
        <f t="shared" si="253"/>
        <v>0</v>
      </c>
      <c r="BH323" s="15">
        <f t="shared" si="254"/>
        <v>0</v>
      </c>
      <c r="BN323" s="15">
        <f t="shared" si="242"/>
        <v>0</v>
      </c>
      <c r="BO323" s="15">
        <f t="shared" si="274"/>
        <v>0</v>
      </c>
      <c r="BP323" s="15">
        <f t="shared" si="255"/>
        <v>0</v>
      </c>
      <c r="BU323" s="15">
        <f t="shared" si="243"/>
        <v>0</v>
      </c>
      <c r="BV323" s="15">
        <f t="shared" si="256"/>
        <v>0</v>
      </c>
      <c r="BW323" s="15">
        <f t="shared" si="257"/>
        <v>0</v>
      </c>
      <c r="BX323" s="15">
        <f t="shared" si="267"/>
        <v>0</v>
      </c>
      <c r="BY323" s="15">
        <f t="shared" si="268"/>
        <v>0</v>
      </c>
      <c r="BZ323" s="1" t="e">
        <f t="shared" si="247"/>
        <v>#DIV/0!</v>
      </c>
      <c r="CA323" s="78"/>
      <c r="CG323" s="15">
        <f>COUNTIF(CB323:CF323,"PR")</f>
        <v>0</v>
      </c>
      <c r="CH323" s="15">
        <f>COUNTIF(CB323:CF323,"AB")</f>
        <v>0</v>
      </c>
      <c r="CI323" s="15">
        <f t="shared" si="258"/>
        <v>0</v>
      </c>
      <c r="CN323" s="15">
        <f>COUNTIF(CJ323:CM323,"PR")</f>
        <v>0</v>
      </c>
      <c r="CO323" s="15">
        <f>COUNTIF(CJ323:CM323,"AB")</f>
        <v>0</v>
      </c>
      <c r="CP323" s="15">
        <f t="shared" si="259"/>
        <v>0</v>
      </c>
      <c r="CU323" s="15">
        <f t="shared" si="244"/>
        <v>0</v>
      </c>
      <c r="CV323" s="15">
        <f t="shared" si="269"/>
        <v>0</v>
      </c>
      <c r="CW323" s="15">
        <f t="shared" si="270"/>
        <v>0</v>
      </c>
      <c r="CX323" s="15">
        <f>CG323+CN323+CU323</f>
        <v>0</v>
      </c>
      <c r="CY323" s="15" t="e">
        <f>SUM(CE323,#REF!,CS323)</f>
        <v>#REF!</v>
      </c>
      <c r="CZ323" s="1" t="e">
        <f t="shared" si="248"/>
        <v>#REF!</v>
      </c>
      <c r="DA323" s="78"/>
    </row>
    <row r="324" spans="1:105">
      <c r="A324" s="87"/>
      <c r="B324" s="14"/>
      <c r="H324" s="15">
        <f t="shared" si="262"/>
        <v>0</v>
      </c>
      <c r="I324" s="18">
        <f t="shared" si="263"/>
        <v>0</v>
      </c>
      <c r="J324" s="15">
        <f t="shared" si="264"/>
        <v>0</v>
      </c>
      <c r="O324" s="15">
        <f t="shared" si="238"/>
        <v>0</v>
      </c>
      <c r="P324" s="18">
        <f t="shared" si="265"/>
        <v>0</v>
      </c>
      <c r="Q324" s="15">
        <f t="shared" si="266"/>
        <v>0</v>
      </c>
      <c r="V324" s="15">
        <f t="shared" si="271"/>
        <v>0</v>
      </c>
      <c r="W324" s="15">
        <f t="shared" si="272"/>
        <v>0</v>
      </c>
      <c r="X324" s="15">
        <f t="shared" si="261"/>
        <v>0</v>
      </c>
      <c r="Y324" s="15">
        <f>J324+Q324+X324</f>
        <v>0</v>
      </c>
      <c r="Z324" s="15">
        <f>SUM(H324,O324,V324)</f>
        <v>0</v>
      </c>
      <c r="AA324" s="78" t="e">
        <f t="shared" si="245"/>
        <v>#DIV/0!</v>
      </c>
      <c r="AB324" s="78"/>
      <c r="AG324" s="15">
        <f t="shared" si="239"/>
        <v>0</v>
      </c>
      <c r="AH324" s="15">
        <f t="shared" si="249"/>
        <v>0</v>
      </c>
      <c r="AI324" s="15">
        <f t="shared" si="250"/>
        <v>0</v>
      </c>
      <c r="AO324" s="15">
        <f t="shared" si="240"/>
        <v>0</v>
      </c>
      <c r="AP324" s="15">
        <f t="shared" si="251"/>
        <v>0</v>
      </c>
      <c r="AQ324" s="15">
        <f t="shared" si="252"/>
        <v>0</v>
      </c>
      <c r="AV324" s="15">
        <f>COUNTIF(AR324:AU324,"PR")</f>
        <v>0</v>
      </c>
      <c r="AW324" s="15">
        <f t="shared" si="273"/>
        <v>0</v>
      </c>
      <c r="AX324" s="15">
        <f t="shared" si="260"/>
        <v>0</v>
      </c>
      <c r="AY324" s="15">
        <f>AI324+AQ324+AX324</f>
        <v>0</v>
      </c>
      <c r="AZ324" s="15">
        <f>SUM(AG324,AO324,AV324)</f>
        <v>0</v>
      </c>
      <c r="BA324" s="78" t="e">
        <f t="shared" si="246"/>
        <v>#DIV/0!</v>
      </c>
      <c r="BD324" s="1"/>
      <c r="BF324" s="15">
        <f t="shared" si="241"/>
        <v>0</v>
      </c>
      <c r="BG324" s="15">
        <f t="shared" si="253"/>
        <v>0</v>
      </c>
      <c r="BH324" s="15">
        <f t="shared" si="254"/>
        <v>0</v>
      </c>
      <c r="BN324" s="15">
        <f t="shared" si="242"/>
        <v>0</v>
      </c>
      <c r="BO324" s="15">
        <f t="shared" si="274"/>
        <v>0</v>
      </c>
      <c r="BP324" s="15">
        <f t="shared" si="255"/>
        <v>0</v>
      </c>
      <c r="BU324" s="15">
        <f t="shared" si="243"/>
        <v>0</v>
      </c>
      <c r="BV324" s="15">
        <f t="shared" si="256"/>
        <v>0</v>
      </c>
      <c r="BW324" s="15">
        <f t="shared" si="257"/>
        <v>0</v>
      </c>
      <c r="BX324" s="15">
        <f t="shared" si="267"/>
        <v>0</v>
      </c>
      <c r="BY324" s="15">
        <f t="shared" si="268"/>
        <v>0</v>
      </c>
      <c r="BZ324" s="1" t="e">
        <f t="shared" si="247"/>
        <v>#DIV/0!</v>
      </c>
      <c r="CA324" s="78"/>
      <c r="CG324" s="15">
        <f>COUNTIF(CB324:CF324,"PR")</f>
        <v>0</v>
      </c>
      <c r="CH324" s="15">
        <f>COUNTIF(CB324:CF324,"AB")</f>
        <v>0</v>
      </c>
      <c r="CI324" s="15">
        <f t="shared" si="258"/>
        <v>0</v>
      </c>
      <c r="CN324" s="15">
        <f>COUNTIF(CJ324:CM324,"PR")</f>
        <v>0</v>
      </c>
      <c r="CO324" s="15">
        <f>COUNTIF(CJ324:CM324,"AB")</f>
        <v>0</v>
      </c>
      <c r="CP324" s="15">
        <f t="shared" si="259"/>
        <v>0</v>
      </c>
      <c r="CU324" s="15">
        <f t="shared" si="244"/>
        <v>0</v>
      </c>
      <c r="CV324" s="15">
        <f t="shared" si="269"/>
        <v>0</v>
      </c>
      <c r="CW324" s="15">
        <f t="shared" si="270"/>
        <v>0</v>
      </c>
      <c r="CX324" s="15">
        <f>CG324+CN324+CU324</f>
        <v>0</v>
      </c>
      <c r="CY324" s="15" t="e">
        <f>SUM(CE324,#REF!,CS324)</f>
        <v>#REF!</v>
      </c>
      <c r="CZ324" s="1" t="e">
        <f t="shared" si="248"/>
        <v>#REF!</v>
      </c>
      <c r="DA324" s="78"/>
    </row>
    <row r="325" spans="1:105">
      <c r="A325" s="87"/>
      <c r="B325" s="14"/>
      <c r="H325" s="15">
        <f t="shared" si="262"/>
        <v>0</v>
      </c>
      <c r="I325" s="18">
        <f t="shared" si="263"/>
        <v>0</v>
      </c>
      <c r="J325" s="15">
        <f t="shared" si="264"/>
        <v>0</v>
      </c>
      <c r="O325" s="15">
        <f t="shared" si="238"/>
        <v>0</v>
      </c>
      <c r="P325" s="18">
        <f t="shared" si="265"/>
        <v>0</v>
      </c>
      <c r="Q325" s="15">
        <f t="shared" si="266"/>
        <v>0</v>
      </c>
      <c r="V325" s="15">
        <f t="shared" si="271"/>
        <v>0</v>
      </c>
      <c r="W325" s="15">
        <f t="shared" si="272"/>
        <v>0</v>
      </c>
      <c r="X325" s="15">
        <f t="shared" si="261"/>
        <v>0</v>
      </c>
      <c r="Y325" s="15">
        <f>J325+Q325+X325</f>
        <v>0</v>
      </c>
      <c r="Z325" s="15">
        <f>SUM(H325,O325,V325)</f>
        <v>0</v>
      </c>
      <c r="AA325" s="78" t="e">
        <f t="shared" si="245"/>
        <v>#DIV/0!</v>
      </c>
      <c r="AB325" s="78"/>
      <c r="AG325" s="15">
        <f t="shared" si="239"/>
        <v>0</v>
      </c>
      <c r="AH325" s="15">
        <f t="shared" si="249"/>
        <v>0</v>
      </c>
      <c r="AI325" s="15">
        <f t="shared" si="250"/>
        <v>0</v>
      </c>
      <c r="AO325" s="15">
        <f t="shared" si="240"/>
        <v>0</v>
      </c>
      <c r="AP325" s="15">
        <f t="shared" si="251"/>
        <v>0</v>
      </c>
      <c r="AQ325" s="15">
        <f t="shared" si="252"/>
        <v>0</v>
      </c>
      <c r="AV325" s="15">
        <f>COUNTIF(AR325:AU325,"PR")</f>
        <v>0</v>
      </c>
      <c r="AW325" s="15">
        <f t="shared" si="273"/>
        <v>0</v>
      </c>
      <c r="AX325" s="15">
        <f t="shared" si="260"/>
        <v>0</v>
      </c>
      <c r="AY325" s="15">
        <f>AI325+AQ325+AX325</f>
        <v>0</v>
      </c>
      <c r="AZ325" s="15">
        <f>SUM(AG325,AO325,AV325)</f>
        <v>0</v>
      </c>
      <c r="BA325" s="78" t="e">
        <f t="shared" si="246"/>
        <v>#DIV/0!</v>
      </c>
      <c r="BD325" s="1"/>
      <c r="BF325" s="15">
        <f t="shared" si="241"/>
        <v>0</v>
      </c>
      <c r="BG325" s="15">
        <f t="shared" si="253"/>
        <v>0</v>
      </c>
      <c r="BH325" s="15">
        <f t="shared" si="254"/>
        <v>0</v>
      </c>
      <c r="BN325" s="15">
        <f t="shared" si="242"/>
        <v>0</v>
      </c>
      <c r="BO325" s="15">
        <f t="shared" si="274"/>
        <v>0</v>
      </c>
      <c r="BP325" s="15">
        <f t="shared" si="255"/>
        <v>0</v>
      </c>
      <c r="BU325" s="15">
        <f t="shared" si="243"/>
        <v>0</v>
      </c>
      <c r="BV325" s="15">
        <f t="shared" si="256"/>
        <v>0</v>
      </c>
      <c r="BW325" s="15">
        <f t="shared" si="257"/>
        <v>0</v>
      </c>
      <c r="BX325" s="15">
        <f t="shared" si="267"/>
        <v>0</v>
      </c>
      <c r="BY325" s="15">
        <f t="shared" si="268"/>
        <v>0</v>
      </c>
      <c r="BZ325" s="1" t="e">
        <f t="shared" si="247"/>
        <v>#DIV/0!</v>
      </c>
      <c r="CA325" s="78"/>
      <c r="CG325" s="15">
        <f>COUNTIF(CB325:CF325,"PR")</f>
        <v>0</v>
      </c>
      <c r="CH325" s="15">
        <f>COUNTIF(CB325:CF325,"AB")</f>
        <v>0</v>
      </c>
      <c r="CI325" s="15">
        <f t="shared" si="258"/>
        <v>0</v>
      </c>
      <c r="CN325" s="15">
        <f>COUNTIF(CJ325:CM325,"PR")</f>
        <v>0</v>
      </c>
      <c r="CO325" s="15">
        <f>COUNTIF(CJ325:CM325,"AB")</f>
        <v>0</v>
      </c>
      <c r="CP325" s="15">
        <f t="shared" si="259"/>
        <v>0</v>
      </c>
      <c r="CU325" s="15">
        <f t="shared" si="244"/>
        <v>0</v>
      </c>
      <c r="CV325" s="15">
        <f t="shared" si="269"/>
        <v>0</v>
      </c>
      <c r="CW325" s="15">
        <f t="shared" si="270"/>
        <v>0</v>
      </c>
      <c r="CX325" s="15">
        <f>CG325+CN325+CU325</f>
        <v>0</v>
      </c>
      <c r="CY325" s="15" t="e">
        <f>SUM(CE325,#REF!,CS325)</f>
        <v>#REF!</v>
      </c>
      <c r="CZ325" s="1" t="e">
        <f t="shared" si="248"/>
        <v>#REF!</v>
      </c>
      <c r="DA325" s="78"/>
    </row>
    <row r="326" spans="1:105">
      <c r="A326" s="87"/>
      <c r="B326" s="14"/>
      <c r="H326" s="15">
        <f t="shared" si="262"/>
        <v>0</v>
      </c>
      <c r="I326" s="18">
        <f t="shared" si="263"/>
        <v>0</v>
      </c>
      <c r="J326" s="15">
        <f t="shared" si="264"/>
        <v>0</v>
      </c>
      <c r="O326" s="15">
        <f t="shared" si="238"/>
        <v>0</v>
      </c>
      <c r="P326" s="18">
        <f t="shared" si="265"/>
        <v>0</v>
      </c>
      <c r="Q326" s="15">
        <f t="shared" si="266"/>
        <v>0</v>
      </c>
      <c r="V326" s="15">
        <f t="shared" si="271"/>
        <v>0</v>
      </c>
      <c r="W326" s="15">
        <f t="shared" si="272"/>
        <v>0</v>
      </c>
      <c r="X326" s="15">
        <f t="shared" si="261"/>
        <v>0</v>
      </c>
      <c r="Y326" s="15">
        <f>J326+Q326+X326</f>
        <v>0</v>
      </c>
      <c r="Z326" s="15">
        <f>SUM(H326,O326,V326)</f>
        <v>0</v>
      </c>
      <c r="AA326" s="78" t="e">
        <f t="shared" si="245"/>
        <v>#DIV/0!</v>
      </c>
      <c r="AB326" s="78"/>
      <c r="AG326" s="15">
        <f t="shared" si="239"/>
        <v>0</v>
      </c>
      <c r="AH326" s="15">
        <f t="shared" si="249"/>
        <v>0</v>
      </c>
      <c r="AI326" s="15">
        <f t="shared" si="250"/>
        <v>0</v>
      </c>
      <c r="AO326" s="15">
        <f t="shared" si="240"/>
        <v>0</v>
      </c>
      <c r="AP326" s="15">
        <f t="shared" si="251"/>
        <v>0</v>
      </c>
      <c r="AQ326" s="15">
        <f t="shared" si="252"/>
        <v>0</v>
      </c>
      <c r="AV326" s="15">
        <f>COUNTIF(AR326:AU326,"PR")</f>
        <v>0</v>
      </c>
      <c r="AW326" s="15">
        <f t="shared" si="273"/>
        <v>0</v>
      </c>
      <c r="AX326" s="15">
        <f t="shared" si="260"/>
        <v>0</v>
      </c>
      <c r="AY326" s="15">
        <f>AI326+AQ326+AX326</f>
        <v>0</v>
      </c>
      <c r="AZ326" s="15">
        <f>SUM(AG326,AO326,AV326)</f>
        <v>0</v>
      </c>
      <c r="BA326" s="78" t="e">
        <f t="shared" si="246"/>
        <v>#DIV/0!</v>
      </c>
      <c r="BD326" s="1"/>
      <c r="BF326" s="15">
        <f t="shared" si="241"/>
        <v>0</v>
      </c>
      <c r="BG326" s="15">
        <f t="shared" si="253"/>
        <v>0</v>
      </c>
      <c r="BH326" s="15">
        <f t="shared" si="254"/>
        <v>0</v>
      </c>
      <c r="BN326" s="15">
        <f t="shared" si="242"/>
        <v>0</v>
      </c>
      <c r="BO326" s="15">
        <f t="shared" si="274"/>
        <v>0</v>
      </c>
      <c r="BP326" s="15">
        <f t="shared" si="255"/>
        <v>0</v>
      </c>
      <c r="BU326" s="15">
        <f t="shared" si="243"/>
        <v>0</v>
      </c>
      <c r="BV326" s="15">
        <f t="shared" si="256"/>
        <v>0</v>
      </c>
      <c r="BW326" s="15">
        <f t="shared" si="257"/>
        <v>0</v>
      </c>
      <c r="BX326" s="15">
        <f t="shared" si="267"/>
        <v>0</v>
      </c>
      <c r="BY326" s="15">
        <f t="shared" si="268"/>
        <v>0</v>
      </c>
      <c r="BZ326" s="1" t="e">
        <f t="shared" si="247"/>
        <v>#DIV/0!</v>
      </c>
      <c r="CA326" s="78"/>
      <c r="CG326" s="15">
        <f>COUNTIF(CB326:CF326,"PR")</f>
        <v>0</v>
      </c>
      <c r="CH326" s="15">
        <f>COUNTIF(CB326:CF326,"AB")</f>
        <v>0</v>
      </c>
      <c r="CI326" s="15">
        <f t="shared" si="258"/>
        <v>0</v>
      </c>
      <c r="CN326" s="15">
        <f>COUNTIF(CJ326:CM326,"PR")</f>
        <v>0</v>
      </c>
      <c r="CO326" s="15">
        <f>COUNTIF(CJ326:CM326,"AB")</f>
        <v>0</v>
      </c>
      <c r="CP326" s="15">
        <f t="shared" si="259"/>
        <v>0</v>
      </c>
      <c r="CU326" s="15">
        <f t="shared" si="244"/>
        <v>0</v>
      </c>
      <c r="CV326" s="15">
        <f t="shared" si="269"/>
        <v>0</v>
      </c>
      <c r="CW326" s="15">
        <f t="shared" si="270"/>
        <v>0</v>
      </c>
      <c r="CX326" s="15">
        <f>CG326+CN326+CU326</f>
        <v>0</v>
      </c>
      <c r="CY326" s="15" t="e">
        <f>SUM(CE326,#REF!,CS326)</f>
        <v>#REF!</v>
      </c>
      <c r="CZ326" s="1" t="e">
        <f t="shared" si="248"/>
        <v>#REF!</v>
      </c>
      <c r="DA326" s="78"/>
    </row>
    <row r="327" spans="1:105">
      <c r="A327" s="87"/>
      <c r="B327" s="14"/>
      <c r="H327" s="15">
        <f t="shared" si="262"/>
        <v>0</v>
      </c>
      <c r="I327" s="18">
        <f t="shared" si="263"/>
        <v>0</v>
      </c>
      <c r="J327" s="15">
        <f t="shared" si="264"/>
        <v>0</v>
      </c>
      <c r="O327" s="15">
        <f t="shared" si="238"/>
        <v>0</v>
      </c>
      <c r="P327" s="18">
        <f t="shared" si="265"/>
        <v>0</v>
      </c>
      <c r="Q327" s="15">
        <f t="shared" si="266"/>
        <v>0</v>
      </c>
      <c r="V327" s="15">
        <f t="shared" si="271"/>
        <v>0</v>
      </c>
      <c r="W327" s="15">
        <f t="shared" si="272"/>
        <v>0</v>
      </c>
      <c r="X327" s="15">
        <f t="shared" si="261"/>
        <v>0</v>
      </c>
      <c r="Y327" s="15">
        <f>J327+Q327+X327</f>
        <v>0</v>
      </c>
      <c r="Z327" s="15">
        <f>SUM(H327,O327,V327)</f>
        <v>0</v>
      </c>
      <c r="AA327" s="78" t="e">
        <f t="shared" si="245"/>
        <v>#DIV/0!</v>
      </c>
      <c r="AB327" s="78"/>
      <c r="AG327" s="15">
        <f t="shared" si="239"/>
        <v>0</v>
      </c>
      <c r="AH327" s="15">
        <f t="shared" si="249"/>
        <v>0</v>
      </c>
      <c r="AI327" s="15">
        <f t="shared" si="250"/>
        <v>0</v>
      </c>
      <c r="AO327" s="15">
        <f t="shared" si="240"/>
        <v>0</v>
      </c>
      <c r="AP327" s="15">
        <f t="shared" si="251"/>
        <v>0</v>
      </c>
      <c r="AQ327" s="15">
        <f t="shared" si="252"/>
        <v>0</v>
      </c>
      <c r="AV327" s="15">
        <f>COUNTIF(AR327:AU327,"PR")</f>
        <v>0</v>
      </c>
      <c r="AW327" s="15">
        <f t="shared" si="273"/>
        <v>0</v>
      </c>
      <c r="AX327" s="15">
        <f t="shared" si="260"/>
        <v>0</v>
      </c>
      <c r="AY327" s="15">
        <f>AI327+AQ327+AX327</f>
        <v>0</v>
      </c>
      <c r="AZ327" s="15">
        <f>SUM(AG327,AO327,AV327)</f>
        <v>0</v>
      </c>
      <c r="BA327" s="78" t="e">
        <f t="shared" si="246"/>
        <v>#DIV/0!</v>
      </c>
      <c r="BD327" s="1"/>
      <c r="BF327" s="15">
        <f t="shared" si="241"/>
        <v>0</v>
      </c>
      <c r="BG327" s="15">
        <f t="shared" si="253"/>
        <v>0</v>
      </c>
      <c r="BH327" s="15">
        <f t="shared" si="254"/>
        <v>0</v>
      </c>
      <c r="BN327" s="15">
        <f t="shared" si="242"/>
        <v>0</v>
      </c>
      <c r="BO327" s="15">
        <f t="shared" si="274"/>
        <v>0</v>
      </c>
      <c r="BP327" s="15">
        <f t="shared" si="255"/>
        <v>0</v>
      </c>
      <c r="BU327" s="15">
        <f t="shared" si="243"/>
        <v>0</v>
      </c>
      <c r="BV327" s="15">
        <f t="shared" si="256"/>
        <v>0</v>
      </c>
      <c r="BW327" s="15">
        <f t="shared" si="257"/>
        <v>0</v>
      </c>
      <c r="BX327" s="15">
        <f t="shared" si="267"/>
        <v>0</v>
      </c>
      <c r="BY327" s="15">
        <f t="shared" si="268"/>
        <v>0</v>
      </c>
      <c r="BZ327" s="1" t="e">
        <f t="shared" si="247"/>
        <v>#DIV/0!</v>
      </c>
      <c r="CA327" s="78"/>
      <c r="CG327" s="15">
        <f>COUNTIF(CB327:CF327,"PR")</f>
        <v>0</v>
      </c>
      <c r="CH327" s="15">
        <f>COUNTIF(CB327:CF327,"AB")</f>
        <v>0</v>
      </c>
      <c r="CI327" s="15">
        <f t="shared" si="258"/>
        <v>0</v>
      </c>
      <c r="CN327" s="15">
        <f>COUNTIF(CJ327:CM327,"PR")</f>
        <v>0</v>
      </c>
      <c r="CO327" s="15">
        <f>COUNTIF(CJ327:CM327,"AB")</f>
        <v>0</v>
      </c>
      <c r="CP327" s="15">
        <f t="shared" si="259"/>
        <v>0</v>
      </c>
      <c r="CU327" s="15">
        <f t="shared" si="244"/>
        <v>0</v>
      </c>
      <c r="CV327" s="15">
        <f t="shared" si="269"/>
        <v>0</v>
      </c>
      <c r="CW327" s="15">
        <f t="shared" si="270"/>
        <v>0</v>
      </c>
      <c r="CX327" s="15">
        <f>CG327+CN327+CU327</f>
        <v>0</v>
      </c>
      <c r="CY327" s="15" t="e">
        <f>SUM(CE327,#REF!,CS327)</f>
        <v>#REF!</v>
      </c>
      <c r="CZ327" s="1" t="e">
        <f t="shared" si="248"/>
        <v>#REF!</v>
      </c>
      <c r="DA327" s="78"/>
    </row>
    <row r="328" spans="1:105">
      <c r="A328" s="87"/>
      <c r="B328" s="14"/>
      <c r="H328" s="15">
        <f t="shared" si="262"/>
        <v>0</v>
      </c>
      <c r="I328" s="18">
        <f t="shared" si="263"/>
        <v>0</v>
      </c>
      <c r="J328" s="15">
        <f t="shared" si="264"/>
        <v>0</v>
      </c>
      <c r="O328" s="15">
        <f t="shared" si="238"/>
        <v>0</v>
      </c>
      <c r="P328" s="18">
        <f t="shared" si="265"/>
        <v>0</v>
      </c>
      <c r="Q328" s="15">
        <f t="shared" si="266"/>
        <v>0</v>
      </c>
      <c r="V328" s="15">
        <f t="shared" si="271"/>
        <v>0</v>
      </c>
      <c r="W328" s="15">
        <f t="shared" si="272"/>
        <v>0</v>
      </c>
      <c r="X328" s="15">
        <f t="shared" si="261"/>
        <v>0</v>
      </c>
      <c r="Y328" s="15">
        <f>J328+Q328+X328</f>
        <v>0</v>
      </c>
      <c r="Z328" s="15">
        <f>SUM(H328,O328,V328)</f>
        <v>0</v>
      </c>
      <c r="AA328" s="78" t="e">
        <f t="shared" si="245"/>
        <v>#DIV/0!</v>
      </c>
      <c r="AB328" s="78"/>
      <c r="AC328" s="76"/>
      <c r="AD328" s="72"/>
      <c r="AE328" s="72"/>
      <c r="AF328" s="72"/>
      <c r="AG328" s="15">
        <f t="shared" si="239"/>
        <v>0</v>
      </c>
      <c r="AH328" s="15">
        <f t="shared" si="249"/>
        <v>0</v>
      </c>
      <c r="AI328" s="15">
        <f t="shared" si="250"/>
        <v>0</v>
      </c>
      <c r="AO328" s="15">
        <f t="shared" si="240"/>
        <v>0</v>
      </c>
      <c r="AP328" s="15">
        <f t="shared" si="251"/>
        <v>0</v>
      </c>
      <c r="AQ328" s="15">
        <f t="shared" si="252"/>
        <v>0</v>
      </c>
      <c r="AV328" s="15">
        <f>COUNTIF(AR328:AU328,"PR")</f>
        <v>0</v>
      </c>
      <c r="AW328" s="15">
        <f t="shared" si="273"/>
        <v>0</v>
      </c>
      <c r="AX328" s="15">
        <f t="shared" si="260"/>
        <v>0</v>
      </c>
      <c r="AY328" s="15">
        <f>AI328+AQ328+AX328</f>
        <v>0</v>
      </c>
      <c r="AZ328" s="15">
        <f>SUM(AG328,AO328,AV328)</f>
        <v>0</v>
      </c>
      <c r="BA328" s="78" t="e">
        <f t="shared" si="246"/>
        <v>#DIV/0!</v>
      </c>
      <c r="BD328" s="1"/>
      <c r="BF328" s="15">
        <f t="shared" si="241"/>
        <v>0</v>
      </c>
      <c r="BG328" s="15">
        <f t="shared" si="253"/>
        <v>0</v>
      </c>
      <c r="BH328" s="15">
        <f t="shared" si="254"/>
        <v>0</v>
      </c>
      <c r="BN328" s="15">
        <f t="shared" si="242"/>
        <v>0</v>
      </c>
      <c r="BO328" s="15">
        <f t="shared" si="274"/>
        <v>0</v>
      </c>
      <c r="BP328" s="15">
        <f t="shared" si="255"/>
        <v>0</v>
      </c>
      <c r="BU328" s="15">
        <f t="shared" si="243"/>
        <v>0</v>
      </c>
      <c r="BV328" s="15">
        <f t="shared" si="256"/>
        <v>0</v>
      </c>
      <c r="BW328" s="15">
        <f t="shared" si="257"/>
        <v>0</v>
      </c>
      <c r="BX328" s="15">
        <f t="shared" si="267"/>
        <v>0</v>
      </c>
      <c r="BY328" s="15">
        <f t="shared" si="268"/>
        <v>0</v>
      </c>
      <c r="BZ328" s="1" t="e">
        <f t="shared" si="247"/>
        <v>#DIV/0!</v>
      </c>
      <c r="CA328" s="78"/>
      <c r="CG328" s="15">
        <f>COUNTIF(CB328:CF328,"PR")</f>
        <v>0</v>
      </c>
      <c r="CH328" s="15">
        <f>COUNTIF(CB328:CF328,"AB")</f>
        <v>0</v>
      </c>
      <c r="CI328" s="15">
        <f t="shared" si="258"/>
        <v>0</v>
      </c>
      <c r="CN328" s="15">
        <f>COUNTIF(CJ328:CM328,"PR")</f>
        <v>0</v>
      </c>
      <c r="CO328" s="15">
        <f>COUNTIF(CJ328:CM328,"AB")</f>
        <v>0</v>
      </c>
      <c r="CP328" s="15">
        <f t="shared" si="259"/>
        <v>0</v>
      </c>
      <c r="CU328" s="15">
        <f t="shared" si="244"/>
        <v>0</v>
      </c>
      <c r="CV328" s="15">
        <f t="shared" si="269"/>
        <v>0</v>
      </c>
      <c r="CW328" s="15">
        <f t="shared" si="270"/>
        <v>0</v>
      </c>
      <c r="CX328" s="15">
        <f>CG328+CN328+CU328</f>
        <v>0</v>
      </c>
      <c r="CY328" s="15" t="e">
        <f>SUM(CE328,#REF!,CS328)</f>
        <v>#REF!</v>
      </c>
      <c r="CZ328" s="1" t="e">
        <f t="shared" si="248"/>
        <v>#REF!</v>
      </c>
      <c r="DA328" s="78"/>
    </row>
    <row r="329" spans="1:105">
      <c r="A329" s="87"/>
      <c r="B329" s="14"/>
      <c r="H329" s="15">
        <f t="shared" si="262"/>
        <v>0</v>
      </c>
      <c r="I329" s="18">
        <f t="shared" si="263"/>
        <v>0</v>
      </c>
      <c r="J329" s="15">
        <f t="shared" si="264"/>
        <v>0</v>
      </c>
      <c r="O329" s="15">
        <f t="shared" si="238"/>
        <v>0</v>
      </c>
      <c r="P329" s="18">
        <f t="shared" si="265"/>
        <v>0</v>
      </c>
      <c r="Q329" s="15">
        <f t="shared" si="266"/>
        <v>0</v>
      </c>
      <c r="V329" s="15">
        <f t="shared" si="271"/>
        <v>0</v>
      </c>
      <c r="W329" s="15">
        <f t="shared" si="272"/>
        <v>0</v>
      </c>
      <c r="X329" s="15">
        <f t="shared" si="261"/>
        <v>0</v>
      </c>
      <c r="Y329" s="15">
        <f>J329+Q329+X329</f>
        <v>0</v>
      </c>
      <c r="Z329" s="15">
        <f>SUM(H329,O329,V329)</f>
        <v>0</v>
      </c>
      <c r="AA329" s="78" t="e">
        <f t="shared" si="245"/>
        <v>#DIV/0!</v>
      </c>
      <c r="AB329" s="78"/>
      <c r="AG329" s="15">
        <f t="shared" si="239"/>
        <v>0</v>
      </c>
      <c r="AH329" s="15">
        <f t="shared" si="249"/>
        <v>0</v>
      </c>
      <c r="AI329" s="15">
        <f t="shared" si="250"/>
        <v>0</v>
      </c>
      <c r="AO329" s="15">
        <f t="shared" si="240"/>
        <v>0</v>
      </c>
      <c r="AP329" s="15">
        <f t="shared" si="251"/>
        <v>0</v>
      </c>
      <c r="AQ329" s="15">
        <f t="shared" si="252"/>
        <v>0</v>
      </c>
      <c r="AV329" s="15">
        <f>COUNTIF(AR329:AU329,"PR")</f>
        <v>0</v>
      </c>
      <c r="AW329" s="15">
        <f t="shared" si="273"/>
        <v>0</v>
      </c>
      <c r="AX329" s="15">
        <f t="shared" si="260"/>
        <v>0</v>
      </c>
      <c r="AY329" s="15">
        <f>AI329+AQ329+AX329</f>
        <v>0</v>
      </c>
      <c r="AZ329" s="15">
        <f>SUM(AG329,AO329,AV329)</f>
        <v>0</v>
      </c>
      <c r="BA329" s="78" t="e">
        <f t="shared" si="246"/>
        <v>#DIV/0!</v>
      </c>
      <c r="BD329" s="1"/>
      <c r="BF329" s="15">
        <f t="shared" si="241"/>
        <v>0</v>
      </c>
      <c r="BG329" s="15">
        <f t="shared" si="253"/>
        <v>0</v>
      </c>
      <c r="BH329" s="15">
        <f t="shared" si="254"/>
        <v>0</v>
      </c>
      <c r="BN329" s="15">
        <f t="shared" si="242"/>
        <v>0</v>
      </c>
      <c r="BO329" s="15">
        <f t="shared" si="274"/>
        <v>0</v>
      </c>
      <c r="BP329" s="15">
        <f t="shared" si="255"/>
        <v>0</v>
      </c>
      <c r="BU329" s="15">
        <f t="shared" si="243"/>
        <v>0</v>
      </c>
      <c r="BV329" s="15">
        <f t="shared" si="256"/>
        <v>0</v>
      </c>
      <c r="BW329" s="15">
        <f t="shared" si="257"/>
        <v>0</v>
      </c>
      <c r="BX329" s="15">
        <f t="shared" si="267"/>
        <v>0</v>
      </c>
      <c r="BY329" s="15">
        <f t="shared" si="268"/>
        <v>0</v>
      </c>
      <c r="BZ329" s="1" t="e">
        <f t="shared" si="247"/>
        <v>#DIV/0!</v>
      </c>
      <c r="CA329" s="78"/>
      <c r="CG329" s="15">
        <f>COUNTIF(CB329:CF329,"PR")</f>
        <v>0</v>
      </c>
      <c r="CH329" s="15">
        <f>COUNTIF(CB329:CF329,"AB")</f>
        <v>0</v>
      </c>
      <c r="CI329" s="15">
        <f t="shared" si="258"/>
        <v>0</v>
      </c>
      <c r="CN329" s="15">
        <f>COUNTIF(CJ329:CM329,"PR")</f>
        <v>0</v>
      </c>
      <c r="CO329" s="15">
        <f>COUNTIF(CJ329:CM329,"AB")</f>
        <v>0</v>
      </c>
      <c r="CP329" s="15">
        <f t="shared" si="259"/>
        <v>0</v>
      </c>
      <c r="CU329" s="15">
        <f t="shared" si="244"/>
        <v>0</v>
      </c>
      <c r="CV329" s="15">
        <f t="shared" si="269"/>
        <v>0</v>
      </c>
      <c r="CW329" s="15">
        <f t="shared" si="270"/>
        <v>0</v>
      </c>
      <c r="CX329" s="15">
        <f>CG329+CN329+CU329</f>
        <v>0</v>
      </c>
      <c r="CY329" s="15" t="e">
        <f>SUM(CE329,#REF!,CS329)</f>
        <v>#REF!</v>
      </c>
      <c r="CZ329" s="1" t="e">
        <f t="shared" si="248"/>
        <v>#REF!</v>
      </c>
      <c r="DA329" s="78"/>
    </row>
    <row r="330" spans="1:105">
      <c r="A330" s="87"/>
      <c r="B330" s="14"/>
      <c r="H330" s="15">
        <f t="shared" si="262"/>
        <v>0</v>
      </c>
      <c r="I330" s="18">
        <f t="shared" si="263"/>
        <v>0</v>
      </c>
      <c r="J330" s="15">
        <f t="shared" si="264"/>
        <v>0</v>
      </c>
      <c r="O330" s="15">
        <f t="shared" si="238"/>
        <v>0</v>
      </c>
      <c r="P330" s="18">
        <f t="shared" si="265"/>
        <v>0</v>
      </c>
      <c r="Q330" s="15">
        <f t="shared" si="266"/>
        <v>0</v>
      </c>
      <c r="V330" s="15">
        <f t="shared" si="271"/>
        <v>0</v>
      </c>
      <c r="W330" s="15">
        <f t="shared" si="272"/>
        <v>0</v>
      </c>
      <c r="X330" s="15">
        <f t="shared" si="261"/>
        <v>0</v>
      </c>
      <c r="Y330" s="15">
        <f>J330+Q330+X330</f>
        <v>0</v>
      </c>
      <c r="Z330" s="15">
        <f>SUM(H330,O330,V330)</f>
        <v>0</v>
      </c>
      <c r="AA330" s="78" t="e">
        <f t="shared" si="245"/>
        <v>#DIV/0!</v>
      </c>
      <c r="AB330" s="78"/>
      <c r="AG330" s="15">
        <f t="shared" si="239"/>
        <v>0</v>
      </c>
      <c r="AH330" s="15">
        <f t="shared" si="249"/>
        <v>0</v>
      </c>
      <c r="AI330" s="15">
        <f t="shared" si="250"/>
        <v>0</v>
      </c>
      <c r="AO330" s="15">
        <f t="shared" si="240"/>
        <v>0</v>
      </c>
      <c r="AP330" s="15">
        <f t="shared" si="251"/>
        <v>0</v>
      </c>
      <c r="AQ330" s="15">
        <f t="shared" si="252"/>
        <v>0</v>
      </c>
      <c r="AV330" s="15">
        <f>COUNTIF(AR330:AU330,"PR")</f>
        <v>0</v>
      </c>
      <c r="AW330" s="15">
        <f t="shared" si="273"/>
        <v>0</v>
      </c>
      <c r="AX330" s="15">
        <f t="shared" si="260"/>
        <v>0</v>
      </c>
      <c r="AY330" s="15">
        <f>AI330+AQ330+AX330</f>
        <v>0</v>
      </c>
      <c r="AZ330" s="15">
        <f>SUM(AG330,AO330,AV330)</f>
        <v>0</v>
      </c>
      <c r="BA330" s="78" t="e">
        <f t="shared" si="246"/>
        <v>#DIV/0!</v>
      </c>
      <c r="BD330" s="1"/>
      <c r="BF330" s="15">
        <f t="shared" si="241"/>
        <v>0</v>
      </c>
      <c r="BG330" s="15">
        <f t="shared" si="253"/>
        <v>0</v>
      </c>
      <c r="BH330" s="15">
        <f t="shared" si="254"/>
        <v>0</v>
      </c>
      <c r="BN330" s="15">
        <f t="shared" si="242"/>
        <v>0</v>
      </c>
      <c r="BO330" s="15">
        <f t="shared" si="274"/>
        <v>0</v>
      </c>
      <c r="BP330" s="15">
        <f t="shared" si="255"/>
        <v>0</v>
      </c>
      <c r="BU330" s="15">
        <f t="shared" si="243"/>
        <v>0</v>
      </c>
      <c r="BV330" s="15">
        <f t="shared" si="256"/>
        <v>0</v>
      </c>
      <c r="BW330" s="15">
        <f t="shared" si="257"/>
        <v>0</v>
      </c>
      <c r="BX330" s="15">
        <f t="shared" si="267"/>
        <v>0</v>
      </c>
      <c r="BY330" s="15">
        <f t="shared" si="268"/>
        <v>0</v>
      </c>
      <c r="BZ330" s="1" t="e">
        <f t="shared" si="247"/>
        <v>#DIV/0!</v>
      </c>
      <c r="CA330" s="78"/>
      <c r="CG330" s="15">
        <f>COUNTIF(CB330:CF330,"PR")</f>
        <v>0</v>
      </c>
      <c r="CH330" s="15">
        <f>COUNTIF(CB330:CF330,"AB")</f>
        <v>0</v>
      </c>
      <c r="CI330" s="15">
        <f t="shared" si="258"/>
        <v>0</v>
      </c>
      <c r="CN330" s="15">
        <f>COUNTIF(CJ330:CM330,"PR")</f>
        <v>0</v>
      </c>
      <c r="CO330" s="15">
        <f>COUNTIF(CJ330:CM330,"AB")</f>
        <v>0</v>
      </c>
      <c r="CP330" s="15">
        <f t="shared" si="259"/>
        <v>0</v>
      </c>
      <c r="CU330" s="15">
        <f t="shared" si="244"/>
        <v>0</v>
      </c>
      <c r="CV330" s="15">
        <f t="shared" si="269"/>
        <v>0</v>
      </c>
      <c r="CW330" s="15">
        <f t="shared" si="270"/>
        <v>0</v>
      </c>
      <c r="CX330" s="15">
        <f>CG330+CN330+CU330</f>
        <v>0</v>
      </c>
      <c r="CY330" s="15" t="e">
        <f>SUM(CE330,#REF!,CS330)</f>
        <v>#REF!</v>
      </c>
      <c r="CZ330" s="1" t="e">
        <f t="shared" si="248"/>
        <v>#REF!</v>
      </c>
      <c r="DA330" s="78"/>
    </row>
    <row r="331" spans="1:105">
      <c r="A331" s="87"/>
      <c r="B331" s="14"/>
      <c r="H331" s="15">
        <f t="shared" si="262"/>
        <v>0</v>
      </c>
      <c r="I331" s="18">
        <f t="shared" si="263"/>
        <v>0</v>
      </c>
      <c r="J331" s="15">
        <f t="shared" si="264"/>
        <v>0</v>
      </c>
      <c r="O331" s="15">
        <f t="shared" si="238"/>
        <v>0</v>
      </c>
      <c r="P331" s="18">
        <f t="shared" si="265"/>
        <v>0</v>
      </c>
      <c r="Q331" s="15">
        <f t="shared" si="266"/>
        <v>0</v>
      </c>
      <c r="V331" s="15">
        <f t="shared" si="271"/>
        <v>0</v>
      </c>
      <c r="W331" s="15">
        <f t="shared" si="272"/>
        <v>0</v>
      </c>
      <c r="X331" s="15">
        <f t="shared" si="261"/>
        <v>0</v>
      </c>
      <c r="Y331" s="15">
        <f>J331+Q331+X331</f>
        <v>0</v>
      </c>
      <c r="Z331" s="15">
        <f>SUM(H331,O331,V331)</f>
        <v>0</v>
      </c>
      <c r="AA331" s="78" t="e">
        <f t="shared" si="245"/>
        <v>#DIV/0!</v>
      </c>
      <c r="AB331" s="78"/>
      <c r="AG331" s="15">
        <f t="shared" si="239"/>
        <v>0</v>
      </c>
      <c r="AH331" s="15">
        <f t="shared" si="249"/>
        <v>0</v>
      </c>
      <c r="AI331" s="15">
        <f t="shared" si="250"/>
        <v>0</v>
      </c>
      <c r="AO331" s="15">
        <f t="shared" si="240"/>
        <v>0</v>
      </c>
      <c r="AP331" s="15">
        <f t="shared" si="251"/>
        <v>0</v>
      </c>
      <c r="AQ331" s="15">
        <f t="shared" si="252"/>
        <v>0</v>
      </c>
      <c r="AV331" s="15">
        <f>COUNTIF(AR331:AU331,"PR")</f>
        <v>0</v>
      </c>
      <c r="AW331" s="15">
        <f t="shared" si="273"/>
        <v>0</v>
      </c>
      <c r="AX331" s="15">
        <f t="shared" si="260"/>
        <v>0</v>
      </c>
      <c r="AY331" s="15">
        <f>AI331+AQ331+AX331</f>
        <v>0</v>
      </c>
      <c r="AZ331" s="15">
        <f>SUM(AG331,AO331,AV331)</f>
        <v>0</v>
      </c>
      <c r="BA331" s="78" t="e">
        <f t="shared" si="246"/>
        <v>#DIV/0!</v>
      </c>
      <c r="BD331" s="1"/>
      <c r="BF331" s="15">
        <f t="shared" si="241"/>
        <v>0</v>
      </c>
      <c r="BG331" s="15">
        <f t="shared" si="253"/>
        <v>0</v>
      </c>
      <c r="BH331" s="15">
        <f t="shared" si="254"/>
        <v>0</v>
      </c>
      <c r="BN331" s="15">
        <f t="shared" si="242"/>
        <v>0</v>
      </c>
      <c r="BO331" s="15">
        <f t="shared" si="274"/>
        <v>0</v>
      </c>
      <c r="BP331" s="15">
        <f t="shared" si="255"/>
        <v>0</v>
      </c>
      <c r="BU331" s="15">
        <f t="shared" si="243"/>
        <v>0</v>
      </c>
      <c r="BV331" s="15">
        <f t="shared" si="256"/>
        <v>0</v>
      </c>
      <c r="BW331" s="15">
        <f t="shared" si="257"/>
        <v>0</v>
      </c>
      <c r="BX331" s="15">
        <f t="shared" si="267"/>
        <v>0</v>
      </c>
      <c r="BY331" s="15">
        <f t="shared" si="268"/>
        <v>0</v>
      </c>
      <c r="BZ331" s="1" t="e">
        <f t="shared" si="247"/>
        <v>#DIV/0!</v>
      </c>
      <c r="CA331" s="78"/>
      <c r="CG331" s="15">
        <f>COUNTIF(CB331:CF331,"PR")</f>
        <v>0</v>
      </c>
      <c r="CH331" s="15">
        <f>COUNTIF(CB331:CF331,"AB")</f>
        <v>0</v>
      </c>
      <c r="CI331" s="15">
        <f t="shared" si="258"/>
        <v>0</v>
      </c>
      <c r="CN331" s="15">
        <f>COUNTIF(CJ331:CM331,"PR")</f>
        <v>0</v>
      </c>
      <c r="CO331" s="15">
        <f>COUNTIF(CJ331:CM331,"AB")</f>
        <v>0</v>
      </c>
      <c r="CP331" s="15">
        <f t="shared" si="259"/>
        <v>0</v>
      </c>
      <c r="CU331" s="15">
        <f t="shared" si="244"/>
        <v>0</v>
      </c>
      <c r="CV331" s="15">
        <f t="shared" si="269"/>
        <v>0</v>
      </c>
      <c r="CW331" s="15">
        <f t="shared" si="270"/>
        <v>0</v>
      </c>
      <c r="CX331" s="15">
        <f>CG331+CN331+CU331</f>
        <v>0</v>
      </c>
      <c r="CY331" s="15" t="e">
        <f>SUM(CE331,#REF!,CS331)</f>
        <v>#REF!</v>
      </c>
      <c r="CZ331" s="1" t="e">
        <f t="shared" si="248"/>
        <v>#REF!</v>
      </c>
      <c r="DA331" s="78"/>
    </row>
    <row r="332" spans="1:105">
      <c r="A332" s="87"/>
      <c r="B332" s="14"/>
      <c r="H332" s="15">
        <f t="shared" si="262"/>
        <v>0</v>
      </c>
      <c r="I332" s="18">
        <f t="shared" si="263"/>
        <v>0</v>
      </c>
      <c r="J332" s="15">
        <f t="shared" si="264"/>
        <v>0</v>
      </c>
      <c r="O332" s="15">
        <f t="shared" si="238"/>
        <v>0</v>
      </c>
      <c r="P332" s="18">
        <f t="shared" si="265"/>
        <v>0</v>
      </c>
      <c r="Q332" s="15">
        <f t="shared" si="266"/>
        <v>0</v>
      </c>
      <c r="V332" s="15">
        <f t="shared" si="271"/>
        <v>0</v>
      </c>
      <c r="W332" s="15">
        <f t="shared" si="272"/>
        <v>0</v>
      </c>
      <c r="X332" s="15">
        <f t="shared" si="261"/>
        <v>0</v>
      </c>
      <c r="Y332" s="15">
        <f>J332+Q332+X332</f>
        <v>0</v>
      </c>
      <c r="Z332" s="15">
        <f>SUM(H332,O332,V332)</f>
        <v>0</v>
      </c>
      <c r="AA332" s="78" t="e">
        <f t="shared" si="245"/>
        <v>#DIV/0!</v>
      </c>
      <c r="AB332" s="78"/>
      <c r="AG332" s="15">
        <f t="shared" si="239"/>
        <v>0</v>
      </c>
      <c r="AH332" s="15">
        <f t="shared" si="249"/>
        <v>0</v>
      </c>
      <c r="AI332" s="15">
        <f t="shared" si="250"/>
        <v>0</v>
      </c>
      <c r="AO332" s="15">
        <f t="shared" si="240"/>
        <v>0</v>
      </c>
      <c r="AP332" s="15">
        <f t="shared" si="251"/>
        <v>0</v>
      </c>
      <c r="AQ332" s="15">
        <f t="shared" si="252"/>
        <v>0</v>
      </c>
      <c r="AV332" s="15">
        <f>COUNTIF(AR332:AU332,"PR")</f>
        <v>0</v>
      </c>
      <c r="AW332" s="15">
        <f t="shared" si="273"/>
        <v>0</v>
      </c>
      <c r="AX332" s="15">
        <f t="shared" si="260"/>
        <v>0</v>
      </c>
      <c r="AY332" s="15">
        <f>AI332+AQ332+AX332</f>
        <v>0</v>
      </c>
      <c r="AZ332" s="15">
        <f>SUM(AG332,AO332,AV332)</f>
        <v>0</v>
      </c>
      <c r="BA332" s="78" t="e">
        <f t="shared" si="246"/>
        <v>#DIV/0!</v>
      </c>
      <c r="BD332" s="1"/>
      <c r="BF332" s="15">
        <f t="shared" si="241"/>
        <v>0</v>
      </c>
      <c r="BG332" s="15">
        <f t="shared" si="253"/>
        <v>0</v>
      </c>
      <c r="BH332" s="15">
        <f t="shared" si="254"/>
        <v>0</v>
      </c>
      <c r="BN332" s="15">
        <f t="shared" si="242"/>
        <v>0</v>
      </c>
      <c r="BO332" s="15">
        <f t="shared" si="274"/>
        <v>0</v>
      </c>
      <c r="BP332" s="15">
        <f t="shared" si="255"/>
        <v>0</v>
      </c>
      <c r="BU332" s="15">
        <f t="shared" si="243"/>
        <v>0</v>
      </c>
      <c r="BV332" s="15">
        <f t="shared" si="256"/>
        <v>0</v>
      </c>
      <c r="BW332" s="15">
        <f t="shared" si="257"/>
        <v>0</v>
      </c>
      <c r="BX332" s="15">
        <f t="shared" si="267"/>
        <v>0</v>
      </c>
      <c r="BY332" s="15">
        <f t="shared" si="268"/>
        <v>0</v>
      </c>
      <c r="BZ332" s="1" t="e">
        <f t="shared" si="247"/>
        <v>#DIV/0!</v>
      </c>
      <c r="CA332" s="78"/>
      <c r="CG332" s="15">
        <f>COUNTIF(CB332:CF332,"PR")</f>
        <v>0</v>
      </c>
      <c r="CH332" s="15">
        <f>COUNTIF(CB332:CF332,"AB")</f>
        <v>0</v>
      </c>
      <c r="CI332" s="15">
        <f t="shared" si="258"/>
        <v>0</v>
      </c>
      <c r="CN332" s="15">
        <f>COUNTIF(CJ332:CM332,"PR")</f>
        <v>0</v>
      </c>
      <c r="CO332" s="15">
        <f>COUNTIF(CJ332:CM332,"AB")</f>
        <v>0</v>
      </c>
      <c r="CP332" s="15">
        <f t="shared" si="259"/>
        <v>0</v>
      </c>
      <c r="CU332" s="15">
        <f t="shared" si="244"/>
        <v>0</v>
      </c>
      <c r="CV332" s="15">
        <f t="shared" si="269"/>
        <v>0</v>
      </c>
      <c r="CW332" s="15">
        <f t="shared" si="270"/>
        <v>0</v>
      </c>
      <c r="CX332" s="15">
        <f>CG332+CN332+CU332</f>
        <v>0</v>
      </c>
      <c r="CY332" s="15" t="e">
        <f>SUM(CE332,#REF!,CS332)</f>
        <v>#REF!</v>
      </c>
      <c r="CZ332" s="1" t="e">
        <f t="shared" si="248"/>
        <v>#REF!</v>
      </c>
      <c r="DA332" s="78"/>
    </row>
    <row r="333" spans="1:105">
      <c r="A333" s="87"/>
      <c r="B333" s="14"/>
      <c r="H333" s="15">
        <f t="shared" si="262"/>
        <v>0</v>
      </c>
      <c r="I333" s="18">
        <f t="shared" si="263"/>
        <v>0</v>
      </c>
      <c r="J333" s="15">
        <f t="shared" si="264"/>
        <v>0</v>
      </c>
      <c r="O333" s="15">
        <f t="shared" si="238"/>
        <v>0</v>
      </c>
      <c r="P333" s="18">
        <f t="shared" si="265"/>
        <v>0</v>
      </c>
      <c r="Q333" s="15">
        <f t="shared" si="266"/>
        <v>0</v>
      </c>
      <c r="V333" s="15">
        <f t="shared" si="271"/>
        <v>0</v>
      </c>
      <c r="W333" s="15">
        <f t="shared" si="272"/>
        <v>0</v>
      </c>
      <c r="X333" s="15">
        <f t="shared" si="261"/>
        <v>0</v>
      </c>
      <c r="Y333" s="15">
        <f>J333+Q333+X333</f>
        <v>0</v>
      </c>
      <c r="Z333" s="15">
        <f>SUM(H333,O333,V333)</f>
        <v>0</v>
      </c>
      <c r="AA333" s="78" t="e">
        <f t="shared" si="245"/>
        <v>#DIV/0!</v>
      </c>
      <c r="AB333" s="78"/>
      <c r="AG333" s="15">
        <f t="shared" si="239"/>
        <v>0</v>
      </c>
      <c r="AH333" s="15">
        <f t="shared" si="249"/>
        <v>0</v>
      </c>
      <c r="AI333" s="15">
        <f t="shared" si="250"/>
        <v>0</v>
      </c>
      <c r="AO333" s="15">
        <f t="shared" si="240"/>
        <v>0</v>
      </c>
      <c r="AP333" s="15">
        <f t="shared" si="251"/>
        <v>0</v>
      </c>
      <c r="AQ333" s="15">
        <f t="shared" si="252"/>
        <v>0</v>
      </c>
      <c r="AV333" s="15">
        <f>COUNTIF(AR333:AU333,"PR")</f>
        <v>0</v>
      </c>
      <c r="AW333" s="15">
        <f t="shared" si="273"/>
        <v>0</v>
      </c>
      <c r="AX333" s="15">
        <f t="shared" si="260"/>
        <v>0</v>
      </c>
      <c r="AY333" s="15">
        <f>AI333+AQ333+AX333</f>
        <v>0</v>
      </c>
      <c r="AZ333" s="15">
        <f>SUM(AG333,AO333,AV333)</f>
        <v>0</v>
      </c>
      <c r="BA333" s="78" t="e">
        <f t="shared" si="246"/>
        <v>#DIV/0!</v>
      </c>
      <c r="BD333" s="1"/>
      <c r="BF333" s="15">
        <f t="shared" si="241"/>
        <v>0</v>
      </c>
      <c r="BG333" s="15">
        <f t="shared" si="253"/>
        <v>0</v>
      </c>
      <c r="BH333" s="15">
        <f t="shared" si="254"/>
        <v>0</v>
      </c>
      <c r="BN333" s="15">
        <f t="shared" si="242"/>
        <v>0</v>
      </c>
      <c r="BO333" s="15">
        <f t="shared" si="274"/>
        <v>0</v>
      </c>
      <c r="BP333" s="15">
        <f t="shared" si="255"/>
        <v>0</v>
      </c>
      <c r="BU333" s="15">
        <f t="shared" si="243"/>
        <v>0</v>
      </c>
      <c r="BV333" s="15">
        <f t="shared" si="256"/>
        <v>0</v>
      </c>
      <c r="BW333" s="15">
        <f t="shared" si="257"/>
        <v>0</v>
      </c>
      <c r="BX333" s="15">
        <f t="shared" si="267"/>
        <v>0</v>
      </c>
      <c r="BY333" s="15">
        <f t="shared" si="268"/>
        <v>0</v>
      </c>
      <c r="BZ333" s="1" t="e">
        <f t="shared" si="247"/>
        <v>#DIV/0!</v>
      </c>
      <c r="CA333" s="78"/>
      <c r="CG333" s="15">
        <f>COUNTIF(CB333:CF333,"PR")</f>
        <v>0</v>
      </c>
      <c r="CH333" s="15">
        <f>COUNTIF(CB333:CF333,"AB")</f>
        <v>0</v>
      </c>
      <c r="CI333" s="15">
        <f t="shared" si="258"/>
        <v>0</v>
      </c>
      <c r="CN333" s="15">
        <f>COUNTIF(CJ333:CM333,"PR")</f>
        <v>0</v>
      </c>
      <c r="CO333" s="15">
        <f>COUNTIF(CJ333:CM333,"AB")</f>
        <v>0</v>
      </c>
      <c r="CP333" s="15">
        <f t="shared" si="259"/>
        <v>0</v>
      </c>
      <c r="CU333" s="15">
        <f t="shared" si="244"/>
        <v>0</v>
      </c>
      <c r="CV333" s="15">
        <f t="shared" si="269"/>
        <v>0</v>
      </c>
      <c r="CW333" s="15">
        <f t="shared" si="270"/>
        <v>0</v>
      </c>
      <c r="CX333" s="15">
        <f>CG333+CN333+CU333</f>
        <v>0</v>
      </c>
      <c r="CY333" s="15" t="e">
        <f>SUM(CE333,#REF!,CS333)</f>
        <v>#REF!</v>
      </c>
      <c r="CZ333" s="1" t="e">
        <f t="shared" si="248"/>
        <v>#REF!</v>
      </c>
      <c r="DA333" s="78"/>
    </row>
    <row r="334" spans="1:105">
      <c r="A334" s="87"/>
      <c r="B334" s="14"/>
      <c r="H334" s="15">
        <f t="shared" si="262"/>
        <v>0</v>
      </c>
      <c r="I334" s="18">
        <f t="shared" si="263"/>
        <v>0</v>
      </c>
      <c r="J334" s="15">
        <f t="shared" si="264"/>
        <v>0</v>
      </c>
      <c r="O334" s="15">
        <f t="shared" si="238"/>
        <v>0</v>
      </c>
      <c r="P334" s="18">
        <f t="shared" si="265"/>
        <v>0</v>
      </c>
      <c r="Q334" s="15">
        <f t="shared" si="266"/>
        <v>0</v>
      </c>
      <c r="V334" s="15">
        <f t="shared" si="271"/>
        <v>0</v>
      </c>
      <c r="W334" s="15">
        <f t="shared" si="272"/>
        <v>0</v>
      </c>
      <c r="X334" s="15">
        <f t="shared" si="261"/>
        <v>0</v>
      </c>
      <c r="Y334" s="15">
        <f>J334+Q334+X334</f>
        <v>0</v>
      </c>
      <c r="Z334" s="15">
        <f>SUM(H334,O334,V334)</f>
        <v>0</v>
      </c>
      <c r="AA334" s="78" t="e">
        <f t="shared" si="245"/>
        <v>#DIV/0!</v>
      </c>
      <c r="AB334" s="78"/>
      <c r="AG334" s="15">
        <f t="shared" si="239"/>
        <v>0</v>
      </c>
      <c r="AH334" s="15">
        <f t="shared" si="249"/>
        <v>0</v>
      </c>
      <c r="AI334" s="15">
        <f t="shared" si="250"/>
        <v>0</v>
      </c>
      <c r="AO334" s="15">
        <f t="shared" si="240"/>
        <v>0</v>
      </c>
      <c r="AP334" s="15">
        <f t="shared" si="251"/>
        <v>0</v>
      </c>
      <c r="AQ334" s="15">
        <f t="shared" si="252"/>
        <v>0</v>
      </c>
      <c r="AV334" s="15">
        <f>COUNTIF(AR334:AU334,"PR")</f>
        <v>0</v>
      </c>
      <c r="AW334" s="15">
        <f t="shared" si="273"/>
        <v>0</v>
      </c>
      <c r="AX334" s="15">
        <f t="shared" si="260"/>
        <v>0</v>
      </c>
      <c r="AY334" s="15">
        <f>AI334+AQ334+AX334</f>
        <v>0</v>
      </c>
      <c r="AZ334" s="15">
        <f>SUM(AG334,AO334,AV334)</f>
        <v>0</v>
      </c>
      <c r="BA334" s="78" t="e">
        <f t="shared" si="246"/>
        <v>#DIV/0!</v>
      </c>
      <c r="BD334" s="1"/>
      <c r="BF334" s="15">
        <f t="shared" si="241"/>
        <v>0</v>
      </c>
      <c r="BG334" s="15">
        <f t="shared" si="253"/>
        <v>0</v>
      </c>
      <c r="BH334" s="15">
        <f t="shared" si="254"/>
        <v>0</v>
      </c>
      <c r="BN334" s="15">
        <f t="shared" si="242"/>
        <v>0</v>
      </c>
      <c r="BO334" s="15">
        <f t="shared" si="274"/>
        <v>0</v>
      </c>
      <c r="BP334" s="15">
        <f t="shared" si="255"/>
        <v>0</v>
      </c>
      <c r="BU334" s="15">
        <f t="shared" si="243"/>
        <v>0</v>
      </c>
      <c r="BV334" s="15">
        <f t="shared" si="256"/>
        <v>0</v>
      </c>
      <c r="BW334" s="15">
        <f t="shared" si="257"/>
        <v>0</v>
      </c>
      <c r="BX334" s="15">
        <f t="shared" si="267"/>
        <v>0</v>
      </c>
      <c r="BY334" s="15">
        <f t="shared" si="268"/>
        <v>0</v>
      </c>
      <c r="BZ334" s="1" t="e">
        <f t="shared" si="247"/>
        <v>#DIV/0!</v>
      </c>
      <c r="CA334" s="78"/>
      <c r="CG334" s="15">
        <f>COUNTIF(CB334:CF334,"PR")</f>
        <v>0</v>
      </c>
      <c r="CH334" s="15">
        <f>COUNTIF(CB334:CF334,"AB")</f>
        <v>0</v>
      </c>
      <c r="CI334" s="15">
        <f t="shared" si="258"/>
        <v>0</v>
      </c>
      <c r="CN334" s="15">
        <f>COUNTIF(CJ334:CM334,"PR")</f>
        <v>0</v>
      </c>
      <c r="CO334" s="15">
        <f>COUNTIF(CJ334:CM334,"AB")</f>
        <v>0</v>
      </c>
      <c r="CP334" s="15">
        <f t="shared" si="259"/>
        <v>0</v>
      </c>
      <c r="CU334" s="15">
        <f t="shared" si="244"/>
        <v>0</v>
      </c>
      <c r="CV334" s="15">
        <f t="shared" si="269"/>
        <v>0</v>
      </c>
      <c r="CW334" s="15">
        <f t="shared" si="270"/>
        <v>0</v>
      </c>
      <c r="CX334" s="15">
        <f>CG334+CN334+CU334</f>
        <v>0</v>
      </c>
      <c r="CY334" s="15" t="e">
        <f>SUM(CE334,#REF!,CS334)</f>
        <v>#REF!</v>
      </c>
      <c r="CZ334" s="1" t="e">
        <f t="shared" si="248"/>
        <v>#REF!</v>
      </c>
      <c r="DA334" s="78"/>
    </row>
    <row r="335" spans="1:105">
      <c r="A335" s="87"/>
      <c r="B335" s="14"/>
      <c r="H335" s="15">
        <f t="shared" si="262"/>
        <v>0</v>
      </c>
      <c r="I335" s="18">
        <f t="shared" si="263"/>
        <v>0</v>
      </c>
      <c r="J335" s="15">
        <f t="shared" si="264"/>
        <v>0</v>
      </c>
      <c r="O335" s="15">
        <f t="shared" si="238"/>
        <v>0</v>
      </c>
      <c r="P335" s="18">
        <f t="shared" si="265"/>
        <v>0</v>
      </c>
      <c r="Q335" s="15">
        <f t="shared" si="266"/>
        <v>0</v>
      </c>
      <c r="V335" s="15">
        <f t="shared" si="271"/>
        <v>0</v>
      </c>
      <c r="W335" s="15">
        <f t="shared" si="272"/>
        <v>0</v>
      </c>
      <c r="X335" s="15">
        <f t="shared" si="261"/>
        <v>0</v>
      </c>
      <c r="Y335" s="15">
        <f>J335+Q335+X335</f>
        <v>0</v>
      </c>
      <c r="Z335" s="15">
        <f>SUM(H335,O335,V335)</f>
        <v>0</v>
      </c>
      <c r="AA335" s="78" t="e">
        <f t="shared" si="245"/>
        <v>#DIV/0!</v>
      </c>
      <c r="AB335" s="78"/>
      <c r="AG335" s="15">
        <f t="shared" si="239"/>
        <v>0</v>
      </c>
      <c r="AH335" s="15">
        <f t="shared" si="249"/>
        <v>0</v>
      </c>
      <c r="AI335" s="15">
        <f t="shared" si="250"/>
        <v>0</v>
      </c>
      <c r="AO335" s="15">
        <f t="shared" si="240"/>
        <v>0</v>
      </c>
      <c r="AP335" s="15">
        <f t="shared" si="251"/>
        <v>0</v>
      </c>
      <c r="AQ335" s="15">
        <f t="shared" si="252"/>
        <v>0</v>
      </c>
      <c r="AV335" s="15">
        <f>COUNTIF(AR335:AU335,"PR")</f>
        <v>0</v>
      </c>
      <c r="AW335" s="15">
        <f t="shared" si="273"/>
        <v>0</v>
      </c>
      <c r="AX335" s="15">
        <f t="shared" si="260"/>
        <v>0</v>
      </c>
      <c r="AY335" s="15">
        <f>AI335+AQ335+AX335</f>
        <v>0</v>
      </c>
      <c r="AZ335" s="15">
        <f>SUM(AG335,AO335,AV335)</f>
        <v>0</v>
      </c>
      <c r="BA335" s="78" t="e">
        <f t="shared" si="246"/>
        <v>#DIV/0!</v>
      </c>
      <c r="BD335" s="1"/>
      <c r="BF335" s="15">
        <f t="shared" si="241"/>
        <v>0</v>
      </c>
      <c r="BG335" s="15">
        <f t="shared" si="253"/>
        <v>0</v>
      </c>
      <c r="BH335" s="15">
        <f t="shared" si="254"/>
        <v>0</v>
      </c>
      <c r="BN335" s="15">
        <f t="shared" si="242"/>
        <v>0</v>
      </c>
      <c r="BO335" s="15">
        <f t="shared" si="274"/>
        <v>0</v>
      </c>
      <c r="BP335" s="15">
        <f t="shared" si="255"/>
        <v>0</v>
      </c>
      <c r="BU335" s="15">
        <f t="shared" si="243"/>
        <v>0</v>
      </c>
      <c r="BV335" s="15">
        <f t="shared" si="256"/>
        <v>0</v>
      </c>
      <c r="BW335" s="15">
        <f t="shared" si="257"/>
        <v>0</v>
      </c>
      <c r="BX335" s="15">
        <f t="shared" si="267"/>
        <v>0</v>
      </c>
      <c r="BY335" s="15">
        <f t="shared" si="268"/>
        <v>0</v>
      </c>
      <c r="BZ335" s="1" t="e">
        <f t="shared" si="247"/>
        <v>#DIV/0!</v>
      </c>
      <c r="CA335" s="78"/>
      <c r="CG335" s="15">
        <f>COUNTIF(CB335:CF335,"PR")</f>
        <v>0</v>
      </c>
      <c r="CH335" s="15">
        <f>COUNTIF(CB335:CF335,"AB")</f>
        <v>0</v>
      </c>
      <c r="CI335" s="15">
        <f t="shared" si="258"/>
        <v>0</v>
      </c>
      <c r="CN335" s="15">
        <f>COUNTIF(CJ335:CM335,"PR")</f>
        <v>0</v>
      </c>
      <c r="CO335" s="15">
        <f>COUNTIF(CJ335:CM335,"AB")</f>
        <v>0</v>
      </c>
      <c r="CP335" s="15">
        <f t="shared" si="259"/>
        <v>0</v>
      </c>
      <c r="CU335" s="15">
        <f t="shared" si="244"/>
        <v>0</v>
      </c>
      <c r="CV335" s="15">
        <f t="shared" si="269"/>
        <v>0</v>
      </c>
      <c r="CW335" s="15">
        <f t="shared" si="270"/>
        <v>0</v>
      </c>
      <c r="CX335" s="15">
        <f>CG335+CN335+CU335</f>
        <v>0</v>
      </c>
      <c r="CY335" s="15" t="e">
        <f>SUM(CE335,#REF!,CS335)</f>
        <v>#REF!</v>
      </c>
      <c r="CZ335" s="1" t="e">
        <f t="shared" si="248"/>
        <v>#REF!</v>
      </c>
      <c r="DA335" s="78"/>
    </row>
    <row r="336" spans="1:105">
      <c r="A336" s="87"/>
      <c r="B336" s="14"/>
      <c r="H336" s="15">
        <f t="shared" si="262"/>
        <v>0</v>
      </c>
      <c r="I336" s="18">
        <f t="shared" si="263"/>
        <v>0</v>
      </c>
      <c r="J336" s="15">
        <f t="shared" si="264"/>
        <v>0</v>
      </c>
      <c r="O336" s="15">
        <f t="shared" ref="O336:O347" si="275">COUNTIF(K336:N336,"PR")</f>
        <v>0</v>
      </c>
      <c r="P336" s="18">
        <f t="shared" si="265"/>
        <v>0</v>
      </c>
      <c r="Q336" s="15">
        <f t="shared" si="266"/>
        <v>0</v>
      </c>
      <c r="V336" s="15">
        <f t="shared" si="271"/>
        <v>0</v>
      </c>
      <c r="W336" s="15">
        <f t="shared" si="272"/>
        <v>0</v>
      </c>
      <c r="X336" s="15">
        <f t="shared" si="261"/>
        <v>0</v>
      </c>
      <c r="Y336" s="15">
        <f>J336+Q336+X336</f>
        <v>0</v>
      </c>
      <c r="Z336" s="15">
        <f>SUM(H336,O336,V336)</f>
        <v>0</v>
      </c>
      <c r="AA336" s="78" t="e">
        <f t="shared" si="245"/>
        <v>#DIV/0!</v>
      </c>
      <c r="AB336" s="78"/>
      <c r="AC336" s="76"/>
      <c r="AD336" s="72"/>
      <c r="AE336" s="72"/>
      <c r="AF336" s="72"/>
      <c r="AG336" s="15">
        <f t="shared" ref="AG336:AG347" si="276">COUNTIF(AC336:AF336,"PR")</f>
        <v>0</v>
      </c>
      <c r="AH336" s="15">
        <f t="shared" si="249"/>
        <v>0</v>
      </c>
      <c r="AI336" s="15">
        <f t="shared" si="250"/>
        <v>0</v>
      </c>
      <c r="AJ336" s="76"/>
      <c r="AK336" s="72"/>
      <c r="AL336" s="72"/>
      <c r="AO336" s="15">
        <f t="shared" ref="AO336:AO347" si="277">COUNTIF(AJ336:AN336,"PR")</f>
        <v>0</v>
      </c>
      <c r="AP336" s="15">
        <f t="shared" si="251"/>
        <v>0</v>
      </c>
      <c r="AQ336" s="15">
        <f t="shared" si="252"/>
        <v>0</v>
      </c>
      <c r="AV336" s="15">
        <f>COUNTIF(AR336:AU336,"PR")</f>
        <v>0</v>
      </c>
      <c r="AW336" s="15">
        <f t="shared" si="273"/>
        <v>0</v>
      </c>
      <c r="AX336" s="15">
        <f t="shared" si="260"/>
        <v>0</v>
      </c>
      <c r="AY336" s="15">
        <f>AI336+AQ336+AX336</f>
        <v>0</v>
      </c>
      <c r="AZ336" s="15">
        <f>SUM(AG336,AO336,AV336)</f>
        <v>0</v>
      </c>
      <c r="BA336" s="78" t="e">
        <f t="shared" si="246"/>
        <v>#DIV/0!</v>
      </c>
      <c r="BD336" s="1"/>
      <c r="BF336" s="15">
        <f t="shared" ref="BF336:BF347" si="278">COUNTIF(BB336:BE336,"PR")</f>
        <v>0</v>
      </c>
      <c r="BG336" s="15">
        <f t="shared" si="253"/>
        <v>0</v>
      </c>
      <c r="BH336" s="15">
        <f t="shared" si="254"/>
        <v>0</v>
      </c>
      <c r="BN336" s="15">
        <f t="shared" ref="BN336:BN347" si="279">COUNTIF(BI336:BM336,"PR")</f>
        <v>0</v>
      </c>
      <c r="BO336" s="15">
        <f t="shared" si="274"/>
        <v>0</v>
      </c>
      <c r="BP336" s="15">
        <f t="shared" si="255"/>
        <v>0</v>
      </c>
      <c r="BU336" s="15">
        <f t="shared" ref="BU336:BU347" si="280">COUNTIF(BQ336:BT336,"PR")</f>
        <v>0</v>
      </c>
      <c r="BV336" s="15">
        <f t="shared" si="256"/>
        <v>0</v>
      </c>
      <c r="BW336" s="15">
        <f t="shared" si="257"/>
        <v>0</v>
      </c>
      <c r="BX336" s="15">
        <f t="shared" si="267"/>
        <v>0</v>
      </c>
      <c r="BY336" s="15">
        <f t="shared" si="268"/>
        <v>0</v>
      </c>
      <c r="BZ336" s="1" t="e">
        <f t="shared" si="247"/>
        <v>#DIV/0!</v>
      </c>
      <c r="CA336" s="78"/>
      <c r="CG336" s="15">
        <f>COUNTIF(CB336:CF336,"PR")</f>
        <v>0</v>
      </c>
      <c r="CH336" s="15">
        <f>COUNTIF(CB336:CF336,"AB")</f>
        <v>0</v>
      </c>
      <c r="CI336" s="15">
        <f t="shared" si="258"/>
        <v>0</v>
      </c>
      <c r="CN336" s="15">
        <f>COUNTIF(CJ336:CM336,"PR")</f>
        <v>0</v>
      </c>
      <c r="CO336" s="15">
        <f>COUNTIF(CJ336:CM336,"AB")</f>
        <v>0</v>
      </c>
      <c r="CP336" s="15">
        <f t="shared" si="259"/>
        <v>0</v>
      </c>
      <c r="CU336" s="15">
        <f t="shared" ref="CU336:CU347" si="281">COUNTIF(CQ336:CT336,"PR")</f>
        <v>0</v>
      </c>
      <c r="CV336" s="15">
        <f t="shared" si="269"/>
        <v>0</v>
      </c>
      <c r="CW336" s="15">
        <f t="shared" si="270"/>
        <v>0</v>
      </c>
      <c r="CX336" s="15">
        <f>CG336+CN336+CU336</f>
        <v>0</v>
      </c>
      <c r="CY336" s="15" t="e">
        <f>SUM(CE336,#REF!,CS336)</f>
        <v>#REF!</v>
      </c>
      <c r="CZ336" s="1" t="e">
        <f t="shared" si="248"/>
        <v>#REF!</v>
      </c>
      <c r="DA336" s="78"/>
    </row>
    <row r="337" spans="1:105">
      <c r="A337" s="87"/>
      <c r="B337" s="14"/>
      <c r="H337" s="15">
        <f t="shared" si="262"/>
        <v>0</v>
      </c>
      <c r="I337" s="18">
        <f t="shared" si="263"/>
        <v>0</v>
      </c>
      <c r="J337" s="15">
        <f t="shared" si="264"/>
        <v>0</v>
      </c>
      <c r="O337" s="15">
        <f t="shared" si="275"/>
        <v>0</v>
      </c>
      <c r="P337" s="18">
        <f t="shared" si="265"/>
        <v>0</v>
      </c>
      <c r="Q337" s="15">
        <f t="shared" si="266"/>
        <v>0</v>
      </c>
      <c r="V337" s="15">
        <f t="shared" si="271"/>
        <v>0</v>
      </c>
      <c r="W337" s="15">
        <f t="shared" si="272"/>
        <v>0</v>
      </c>
      <c r="X337" s="15">
        <f t="shared" si="261"/>
        <v>0</v>
      </c>
      <c r="Y337" s="15">
        <f>J337+Q337+X337</f>
        <v>0</v>
      </c>
      <c r="Z337" s="15">
        <f>SUM(H337,O337,V337)</f>
        <v>0</v>
      </c>
      <c r="AA337" s="78" t="e">
        <f t="shared" ref="AA337:AA347" si="282">Z337/Y337*100</f>
        <v>#DIV/0!</v>
      </c>
      <c r="AB337" s="78"/>
      <c r="AG337" s="15">
        <f t="shared" si="276"/>
        <v>0</v>
      </c>
      <c r="AH337" s="15">
        <f t="shared" si="249"/>
        <v>0</v>
      </c>
      <c r="AI337" s="15">
        <f t="shared" si="250"/>
        <v>0</v>
      </c>
      <c r="AO337" s="15">
        <f t="shared" si="277"/>
        <v>0</v>
      </c>
      <c r="AP337" s="15">
        <f t="shared" si="251"/>
        <v>0</v>
      </c>
      <c r="AQ337" s="15">
        <f t="shared" si="252"/>
        <v>0</v>
      </c>
      <c r="AV337" s="15">
        <f>COUNTIF(AR337:AU337,"PR")</f>
        <v>0</v>
      </c>
      <c r="AW337" s="15">
        <f t="shared" si="273"/>
        <v>0</v>
      </c>
      <c r="AX337" s="15">
        <f t="shared" si="260"/>
        <v>0</v>
      </c>
      <c r="AY337" s="15">
        <f>AI337+AQ337+AX337</f>
        <v>0</v>
      </c>
      <c r="AZ337" s="15">
        <f>SUM(AG337,AO337,AV337)</f>
        <v>0</v>
      </c>
      <c r="BA337" s="78" t="e">
        <f t="shared" ref="BA337:BA351" si="283">AZ337/AY337*100</f>
        <v>#DIV/0!</v>
      </c>
      <c r="BD337" s="1"/>
      <c r="BF337" s="15">
        <f t="shared" si="278"/>
        <v>0</v>
      </c>
      <c r="BG337" s="15">
        <f t="shared" si="253"/>
        <v>0</v>
      </c>
      <c r="BH337" s="15">
        <f t="shared" si="254"/>
        <v>0</v>
      </c>
      <c r="BN337" s="15">
        <f t="shared" si="279"/>
        <v>0</v>
      </c>
      <c r="BO337" s="15">
        <f t="shared" si="274"/>
        <v>0</v>
      </c>
      <c r="BP337" s="15">
        <f t="shared" si="255"/>
        <v>0</v>
      </c>
      <c r="BU337" s="15">
        <f t="shared" si="280"/>
        <v>0</v>
      </c>
      <c r="BV337" s="15">
        <f t="shared" si="256"/>
        <v>0</v>
      </c>
      <c r="BW337" s="15">
        <f t="shared" si="257"/>
        <v>0</v>
      </c>
      <c r="BX337" s="15">
        <f t="shared" si="267"/>
        <v>0</v>
      </c>
      <c r="BY337" s="15">
        <f t="shared" si="268"/>
        <v>0</v>
      </c>
      <c r="BZ337" s="1" t="e">
        <f t="shared" ref="BZ337:BZ347" si="284">BY337/BX337*100</f>
        <v>#DIV/0!</v>
      </c>
      <c r="CA337" s="78"/>
      <c r="CG337" s="15">
        <f>COUNTIF(CB337:CF337,"PR")</f>
        <v>0</v>
      </c>
      <c r="CH337" s="15">
        <f>COUNTIF(CB337:CF337,"AB")</f>
        <v>0</v>
      </c>
      <c r="CI337" s="15">
        <f t="shared" si="258"/>
        <v>0</v>
      </c>
      <c r="CN337" s="15">
        <f>COUNTIF(CJ337:CM337,"PR")</f>
        <v>0</v>
      </c>
      <c r="CO337" s="15">
        <f>COUNTIF(CJ337:CM337,"AB")</f>
        <v>0</v>
      </c>
      <c r="CP337" s="15">
        <f t="shared" si="259"/>
        <v>0</v>
      </c>
      <c r="CU337" s="15">
        <f t="shared" si="281"/>
        <v>0</v>
      </c>
      <c r="CV337" s="15">
        <f t="shared" si="269"/>
        <v>0</v>
      </c>
      <c r="CW337" s="15">
        <f t="shared" si="270"/>
        <v>0</v>
      </c>
      <c r="CX337" s="15">
        <f>CG337+CN337+CU337</f>
        <v>0</v>
      </c>
      <c r="CY337" s="15" t="e">
        <f>SUM(CE337,#REF!,CS337)</f>
        <v>#REF!</v>
      </c>
      <c r="CZ337" s="1" t="e">
        <f t="shared" ref="CZ337:CZ351" si="285">CY337/CX337*100</f>
        <v>#REF!</v>
      </c>
      <c r="DA337" s="78"/>
    </row>
    <row r="338" spans="1:105">
      <c r="A338" s="87"/>
      <c r="B338" s="14"/>
      <c r="H338" s="15">
        <f t="shared" si="262"/>
        <v>0</v>
      </c>
      <c r="I338" s="18">
        <f t="shared" si="263"/>
        <v>0</v>
      </c>
      <c r="J338" s="15">
        <f t="shared" si="264"/>
        <v>0</v>
      </c>
      <c r="O338" s="15">
        <f t="shared" si="275"/>
        <v>0</v>
      </c>
      <c r="P338" s="18">
        <f t="shared" si="265"/>
        <v>0</v>
      </c>
      <c r="Q338" s="15">
        <f t="shared" si="266"/>
        <v>0</v>
      </c>
      <c r="V338" s="15">
        <f t="shared" si="271"/>
        <v>0</v>
      </c>
      <c r="W338" s="15">
        <f t="shared" si="272"/>
        <v>0</v>
      </c>
      <c r="X338" s="15">
        <f t="shared" si="261"/>
        <v>0</v>
      </c>
      <c r="Y338" s="15">
        <f>J338+Q338+X338</f>
        <v>0</v>
      </c>
      <c r="Z338" s="15">
        <f>SUM(H338,O338,V338)</f>
        <v>0</v>
      </c>
      <c r="AA338" s="78" t="e">
        <f t="shared" si="282"/>
        <v>#DIV/0!</v>
      </c>
      <c r="AB338" s="78"/>
      <c r="AG338" s="15">
        <f t="shared" si="276"/>
        <v>0</v>
      </c>
      <c r="AH338" s="15">
        <f t="shared" si="249"/>
        <v>0</v>
      </c>
      <c r="AI338" s="15">
        <f t="shared" si="250"/>
        <v>0</v>
      </c>
      <c r="AO338" s="15">
        <f t="shared" si="277"/>
        <v>0</v>
      </c>
      <c r="AP338" s="15">
        <f t="shared" si="251"/>
        <v>0</v>
      </c>
      <c r="AQ338" s="15">
        <f t="shared" si="252"/>
        <v>0</v>
      </c>
      <c r="AV338" s="15">
        <f>COUNTIF(AR338:AU338,"PR")</f>
        <v>0</v>
      </c>
      <c r="AW338" s="15">
        <f t="shared" si="273"/>
        <v>0</v>
      </c>
      <c r="AX338" s="15">
        <f t="shared" si="260"/>
        <v>0</v>
      </c>
      <c r="AY338" s="15">
        <f>AI338+AQ338+AX338</f>
        <v>0</v>
      </c>
      <c r="AZ338" s="15">
        <f>SUM(AG338,AO338,AV338)</f>
        <v>0</v>
      </c>
      <c r="BA338" s="78" t="e">
        <f t="shared" si="283"/>
        <v>#DIV/0!</v>
      </c>
      <c r="BD338" s="1"/>
      <c r="BF338" s="15">
        <f t="shared" si="278"/>
        <v>0</v>
      </c>
      <c r="BG338" s="15">
        <f t="shared" si="253"/>
        <v>0</v>
      </c>
      <c r="BH338" s="15">
        <f t="shared" si="254"/>
        <v>0</v>
      </c>
      <c r="BN338" s="15">
        <f t="shared" si="279"/>
        <v>0</v>
      </c>
      <c r="BO338" s="15">
        <f t="shared" si="274"/>
        <v>0</v>
      </c>
      <c r="BP338" s="15">
        <f t="shared" si="255"/>
        <v>0</v>
      </c>
      <c r="BU338" s="15">
        <f t="shared" si="280"/>
        <v>0</v>
      </c>
      <c r="BV338" s="15">
        <f t="shared" si="256"/>
        <v>0</v>
      </c>
      <c r="BW338" s="15">
        <f t="shared" si="257"/>
        <v>0</v>
      </c>
      <c r="BX338" s="15">
        <f t="shared" si="267"/>
        <v>0</v>
      </c>
      <c r="BY338" s="15">
        <f t="shared" si="268"/>
        <v>0</v>
      </c>
      <c r="BZ338" s="1" t="e">
        <f t="shared" si="284"/>
        <v>#DIV/0!</v>
      </c>
      <c r="CA338" s="78"/>
      <c r="CG338" s="15">
        <f>COUNTIF(CB338:CF338,"PR")</f>
        <v>0</v>
      </c>
      <c r="CH338" s="15">
        <f>COUNTIF(CB338:CF338,"AB")</f>
        <v>0</v>
      </c>
      <c r="CI338" s="15">
        <f t="shared" si="258"/>
        <v>0</v>
      </c>
      <c r="CN338" s="15">
        <f>COUNTIF(CJ338:CM338,"PR")</f>
        <v>0</v>
      </c>
      <c r="CO338" s="15">
        <f>COUNTIF(CJ338:CM338,"AB")</f>
        <v>0</v>
      </c>
      <c r="CP338" s="15">
        <f t="shared" si="259"/>
        <v>0</v>
      </c>
      <c r="CU338" s="15">
        <f t="shared" si="281"/>
        <v>0</v>
      </c>
      <c r="CV338" s="15">
        <f t="shared" si="269"/>
        <v>0</v>
      </c>
      <c r="CW338" s="15">
        <f t="shared" si="270"/>
        <v>0</v>
      </c>
      <c r="CX338" s="15">
        <f>CG338+CN338+CU338</f>
        <v>0</v>
      </c>
      <c r="CY338" s="15" t="e">
        <f>SUM(CE338,#REF!,CS338)</f>
        <v>#REF!</v>
      </c>
      <c r="CZ338" s="1" t="e">
        <f t="shared" si="285"/>
        <v>#REF!</v>
      </c>
      <c r="DA338" s="78"/>
    </row>
    <row r="339" spans="1:105">
      <c r="A339" s="87"/>
      <c r="B339" s="14"/>
      <c r="H339" s="15">
        <f t="shared" si="262"/>
        <v>0</v>
      </c>
      <c r="I339" s="18">
        <f t="shared" si="263"/>
        <v>0</v>
      </c>
      <c r="J339" s="15">
        <f t="shared" si="264"/>
        <v>0</v>
      </c>
      <c r="O339" s="15">
        <f t="shared" si="275"/>
        <v>0</v>
      </c>
      <c r="P339" s="18">
        <f t="shared" si="265"/>
        <v>0</v>
      </c>
      <c r="Q339" s="15">
        <f t="shared" si="266"/>
        <v>0</v>
      </c>
      <c r="V339" s="15">
        <f t="shared" si="271"/>
        <v>0</v>
      </c>
      <c r="W339" s="15">
        <f t="shared" si="272"/>
        <v>0</v>
      </c>
      <c r="X339" s="15">
        <f t="shared" si="261"/>
        <v>0</v>
      </c>
      <c r="Y339" s="15">
        <f>J339+Q339+X339</f>
        <v>0</v>
      </c>
      <c r="Z339" s="15">
        <f>SUM(H339,O339,V339)</f>
        <v>0</v>
      </c>
      <c r="AA339" s="78" t="e">
        <f t="shared" si="282"/>
        <v>#DIV/0!</v>
      </c>
      <c r="AB339" s="78"/>
      <c r="AG339" s="15">
        <f t="shared" si="276"/>
        <v>0</v>
      </c>
      <c r="AH339" s="15">
        <f t="shared" si="249"/>
        <v>0</v>
      </c>
      <c r="AI339" s="15">
        <f t="shared" si="250"/>
        <v>0</v>
      </c>
      <c r="AO339" s="15">
        <f t="shared" si="277"/>
        <v>0</v>
      </c>
      <c r="AP339" s="15">
        <f t="shared" si="251"/>
        <v>0</v>
      </c>
      <c r="AQ339" s="15">
        <f t="shared" si="252"/>
        <v>0</v>
      </c>
      <c r="AV339" s="15">
        <f>COUNTIF(AR339:AU339,"PR")</f>
        <v>0</v>
      </c>
      <c r="AW339" s="15">
        <f t="shared" si="273"/>
        <v>0</v>
      </c>
      <c r="AX339" s="15">
        <f t="shared" si="260"/>
        <v>0</v>
      </c>
      <c r="AY339" s="15">
        <f>AI339+AQ339+AX339</f>
        <v>0</v>
      </c>
      <c r="AZ339" s="15">
        <f>SUM(AG339,AO339,AV339)</f>
        <v>0</v>
      </c>
      <c r="BA339" s="78" t="e">
        <f t="shared" si="283"/>
        <v>#DIV/0!</v>
      </c>
      <c r="BD339" s="1"/>
      <c r="BF339" s="15">
        <f t="shared" si="278"/>
        <v>0</v>
      </c>
      <c r="BG339" s="15">
        <f t="shared" si="253"/>
        <v>0</v>
      </c>
      <c r="BH339" s="15">
        <f t="shared" si="254"/>
        <v>0</v>
      </c>
      <c r="BN339" s="15">
        <f t="shared" si="279"/>
        <v>0</v>
      </c>
      <c r="BO339" s="15">
        <f t="shared" si="274"/>
        <v>0</v>
      </c>
      <c r="BP339" s="15">
        <f t="shared" si="255"/>
        <v>0</v>
      </c>
      <c r="BU339" s="15">
        <f t="shared" si="280"/>
        <v>0</v>
      </c>
      <c r="BV339" s="15">
        <f t="shared" si="256"/>
        <v>0</v>
      </c>
      <c r="BW339" s="15">
        <f t="shared" si="257"/>
        <v>0</v>
      </c>
      <c r="BX339" s="15">
        <f t="shared" si="267"/>
        <v>0</v>
      </c>
      <c r="BY339" s="15">
        <f t="shared" si="268"/>
        <v>0</v>
      </c>
      <c r="BZ339" s="1" t="e">
        <f t="shared" si="284"/>
        <v>#DIV/0!</v>
      </c>
      <c r="CA339" s="78"/>
      <c r="CG339" s="15">
        <f>COUNTIF(CB339:CF339,"PR")</f>
        <v>0</v>
      </c>
      <c r="CH339" s="15">
        <f>COUNTIF(CB339:CF339,"AB")</f>
        <v>0</v>
      </c>
      <c r="CI339" s="15">
        <f t="shared" si="258"/>
        <v>0</v>
      </c>
      <c r="CN339" s="15">
        <f>COUNTIF(CJ339:CM339,"PR")</f>
        <v>0</v>
      </c>
      <c r="CO339" s="15">
        <f>COUNTIF(CJ339:CM339,"AB")</f>
        <v>0</v>
      </c>
      <c r="CP339" s="15">
        <f t="shared" si="259"/>
        <v>0</v>
      </c>
      <c r="CU339" s="15">
        <f t="shared" si="281"/>
        <v>0</v>
      </c>
      <c r="CV339" s="15">
        <f t="shared" si="269"/>
        <v>0</v>
      </c>
      <c r="CW339" s="15">
        <f t="shared" si="270"/>
        <v>0</v>
      </c>
      <c r="CX339" s="15">
        <f>CG339+CN339+CU339</f>
        <v>0</v>
      </c>
      <c r="CY339" s="15" t="e">
        <f>SUM(CE339,#REF!,CS339)</f>
        <v>#REF!</v>
      </c>
      <c r="CZ339" s="1" t="e">
        <f t="shared" si="285"/>
        <v>#REF!</v>
      </c>
      <c r="DA339" s="78"/>
    </row>
    <row r="340" spans="1:105">
      <c r="A340" s="87"/>
      <c r="B340" s="14"/>
      <c r="H340" s="15">
        <f t="shared" si="262"/>
        <v>0</v>
      </c>
      <c r="I340" s="18">
        <f t="shared" si="263"/>
        <v>0</v>
      </c>
      <c r="J340" s="15">
        <f t="shared" si="264"/>
        <v>0</v>
      </c>
      <c r="O340" s="15">
        <f t="shared" si="275"/>
        <v>0</v>
      </c>
      <c r="P340" s="18">
        <f t="shared" si="265"/>
        <v>0</v>
      </c>
      <c r="Q340" s="15">
        <f t="shared" si="266"/>
        <v>0</v>
      </c>
      <c r="V340" s="15">
        <f t="shared" si="271"/>
        <v>0</v>
      </c>
      <c r="W340" s="15">
        <f t="shared" si="272"/>
        <v>0</v>
      </c>
      <c r="X340" s="15">
        <f t="shared" si="261"/>
        <v>0</v>
      </c>
      <c r="Y340" s="15">
        <f>J340+Q340+X340</f>
        <v>0</v>
      </c>
      <c r="Z340" s="15">
        <f>SUM(H340,O340,V340)</f>
        <v>0</v>
      </c>
      <c r="AA340" s="78" t="e">
        <f t="shared" si="282"/>
        <v>#DIV/0!</v>
      </c>
      <c r="AB340" s="78"/>
      <c r="AG340" s="15">
        <f t="shared" si="276"/>
        <v>0</v>
      </c>
      <c r="AH340" s="15">
        <f t="shared" si="249"/>
        <v>0</v>
      </c>
      <c r="AI340" s="15">
        <f t="shared" si="250"/>
        <v>0</v>
      </c>
      <c r="AO340" s="15">
        <f t="shared" si="277"/>
        <v>0</v>
      </c>
      <c r="AP340" s="15">
        <f t="shared" si="251"/>
        <v>0</v>
      </c>
      <c r="AQ340" s="15">
        <f t="shared" si="252"/>
        <v>0</v>
      </c>
      <c r="AV340" s="15">
        <f>COUNTIF(AR340:AU340,"PR")</f>
        <v>0</v>
      </c>
      <c r="AW340" s="15">
        <f t="shared" si="273"/>
        <v>0</v>
      </c>
      <c r="AX340" s="15">
        <f t="shared" si="260"/>
        <v>0</v>
      </c>
      <c r="AY340" s="15">
        <f>AI340+AQ340+AX340</f>
        <v>0</v>
      </c>
      <c r="AZ340" s="15">
        <f>SUM(AG340,AO340,AV340)</f>
        <v>0</v>
      </c>
      <c r="BA340" s="78" t="e">
        <f t="shared" si="283"/>
        <v>#DIV/0!</v>
      </c>
      <c r="BD340" s="1"/>
      <c r="BF340" s="15">
        <f t="shared" si="278"/>
        <v>0</v>
      </c>
      <c r="BG340" s="15">
        <f t="shared" si="253"/>
        <v>0</v>
      </c>
      <c r="BH340" s="15">
        <f t="shared" si="254"/>
        <v>0</v>
      </c>
      <c r="BN340" s="15">
        <f t="shared" si="279"/>
        <v>0</v>
      </c>
      <c r="BO340" s="15">
        <f t="shared" si="274"/>
        <v>0</v>
      </c>
      <c r="BP340" s="15">
        <f t="shared" si="255"/>
        <v>0</v>
      </c>
      <c r="BU340" s="15">
        <f t="shared" si="280"/>
        <v>0</v>
      </c>
      <c r="BV340" s="15">
        <f t="shared" si="256"/>
        <v>0</v>
      </c>
      <c r="BW340" s="15">
        <f t="shared" si="257"/>
        <v>0</v>
      </c>
      <c r="BX340" s="15">
        <f t="shared" si="267"/>
        <v>0</v>
      </c>
      <c r="BY340" s="15">
        <f t="shared" si="268"/>
        <v>0</v>
      </c>
      <c r="BZ340" s="1" t="e">
        <f t="shared" si="284"/>
        <v>#DIV/0!</v>
      </c>
      <c r="CA340" s="78"/>
      <c r="CG340" s="15">
        <f>COUNTIF(CB340:CF340,"PR")</f>
        <v>0</v>
      </c>
      <c r="CH340" s="15">
        <f>COUNTIF(CB340:CF340,"AB")</f>
        <v>0</v>
      </c>
      <c r="CI340" s="15">
        <f t="shared" si="258"/>
        <v>0</v>
      </c>
      <c r="CN340" s="15">
        <f>COUNTIF(CJ340:CM340,"PR")</f>
        <v>0</v>
      </c>
      <c r="CO340" s="15">
        <f>COUNTIF(CJ340:CM340,"AB")</f>
        <v>0</v>
      </c>
      <c r="CP340" s="15">
        <f t="shared" si="259"/>
        <v>0</v>
      </c>
      <c r="CU340" s="15">
        <f t="shared" si="281"/>
        <v>0</v>
      </c>
      <c r="CV340" s="15">
        <f t="shared" si="269"/>
        <v>0</v>
      </c>
      <c r="CW340" s="15">
        <f t="shared" si="270"/>
        <v>0</v>
      </c>
      <c r="CX340" s="15">
        <f>CG340+CN340+CU340</f>
        <v>0</v>
      </c>
      <c r="CY340" s="15" t="e">
        <f>SUM(CE340,#REF!,CS340)</f>
        <v>#REF!</v>
      </c>
      <c r="CZ340" s="1" t="e">
        <f t="shared" si="285"/>
        <v>#REF!</v>
      </c>
      <c r="DA340" s="78"/>
    </row>
    <row r="341" spans="1:105">
      <c r="A341" s="87"/>
      <c r="B341" s="14"/>
      <c r="H341" s="15">
        <f t="shared" si="262"/>
        <v>0</v>
      </c>
      <c r="I341" s="18">
        <f t="shared" si="263"/>
        <v>0</v>
      </c>
      <c r="J341" s="15">
        <f t="shared" si="264"/>
        <v>0</v>
      </c>
      <c r="O341" s="15">
        <f t="shared" si="275"/>
        <v>0</v>
      </c>
      <c r="P341" s="18">
        <f t="shared" si="265"/>
        <v>0</v>
      </c>
      <c r="Q341" s="15">
        <f t="shared" si="266"/>
        <v>0</v>
      </c>
      <c r="V341" s="15">
        <f t="shared" si="271"/>
        <v>0</v>
      </c>
      <c r="W341" s="15">
        <f t="shared" si="272"/>
        <v>0</v>
      </c>
      <c r="X341" s="15">
        <f t="shared" si="261"/>
        <v>0</v>
      </c>
      <c r="Y341" s="15">
        <f>J341+Q341+X341</f>
        <v>0</v>
      </c>
      <c r="Z341" s="15">
        <f>SUM(H341,O341,V341)</f>
        <v>0</v>
      </c>
      <c r="AA341" s="78" t="e">
        <f t="shared" si="282"/>
        <v>#DIV/0!</v>
      </c>
      <c r="AB341" s="78"/>
      <c r="AG341" s="15">
        <f t="shared" si="276"/>
        <v>0</v>
      </c>
      <c r="AH341" s="15">
        <f t="shared" si="249"/>
        <v>0</v>
      </c>
      <c r="AI341" s="15">
        <f t="shared" si="250"/>
        <v>0</v>
      </c>
      <c r="AO341" s="15">
        <f t="shared" si="277"/>
        <v>0</v>
      </c>
      <c r="AP341" s="15">
        <f t="shared" si="251"/>
        <v>0</v>
      </c>
      <c r="AQ341" s="15">
        <f t="shared" si="252"/>
        <v>0</v>
      </c>
      <c r="AV341" s="15">
        <f>COUNTIF(AR341:AU341,"PR")</f>
        <v>0</v>
      </c>
      <c r="AW341" s="15">
        <f t="shared" si="273"/>
        <v>0</v>
      </c>
      <c r="AX341" s="15">
        <f t="shared" si="260"/>
        <v>0</v>
      </c>
      <c r="AY341" s="15">
        <f>AI341+AQ341+AX341</f>
        <v>0</v>
      </c>
      <c r="AZ341" s="15">
        <f>SUM(AG341,AO341,AV341)</f>
        <v>0</v>
      </c>
      <c r="BA341" s="78" t="e">
        <f t="shared" si="283"/>
        <v>#DIV/0!</v>
      </c>
      <c r="BD341" s="1"/>
      <c r="BF341" s="15">
        <f t="shared" si="278"/>
        <v>0</v>
      </c>
      <c r="BG341" s="15">
        <f t="shared" si="253"/>
        <v>0</v>
      </c>
      <c r="BH341" s="15">
        <f t="shared" si="254"/>
        <v>0</v>
      </c>
      <c r="BN341" s="15">
        <f t="shared" si="279"/>
        <v>0</v>
      </c>
      <c r="BO341" s="15">
        <f t="shared" si="274"/>
        <v>0</v>
      </c>
      <c r="BP341" s="15">
        <f t="shared" si="255"/>
        <v>0</v>
      </c>
      <c r="BU341" s="15">
        <f t="shared" si="280"/>
        <v>0</v>
      </c>
      <c r="BV341" s="15">
        <f t="shared" si="256"/>
        <v>0</v>
      </c>
      <c r="BW341" s="15">
        <f t="shared" si="257"/>
        <v>0</v>
      </c>
      <c r="BX341" s="15">
        <f t="shared" si="267"/>
        <v>0</v>
      </c>
      <c r="BY341" s="15">
        <f t="shared" si="268"/>
        <v>0</v>
      </c>
      <c r="BZ341" s="1" t="e">
        <f t="shared" si="284"/>
        <v>#DIV/0!</v>
      </c>
      <c r="CA341" s="78"/>
      <c r="CG341" s="15">
        <f>COUNTIF(CB341:CF341,"PR")</f>
        <v>0</v>
      </c>
      <c r="CH341" s="15">
        <f>COUNTIF(CB341:CF341,"AB")</f>
        <v>0</v>
      </c>
      <c r="CI341" s="15">
        <f t="shared" si="258"/>
        <v>0</v>
      </c>
      <c r="CN341" s="15">
        <f>COUNTIF(CJ341:CM341,"PR")</f>
        <v>0</v>
      </c>
      <c r="CO341" s="15">
        <f>COUNTIF(CJ341:CM341,"AB")</f>
        <v>0</v>
      </c>
      <c r="CP341" s="15">
        <f t="shared" si="259"/>
        <v>0</v>
      </c>
      <c r="CU341" s="15">
        <f t="shared" si="281"/>
        <v>0</v>
      </c>
      <c r="CV341" s="15">
        <f t="shared" si="269"/>
        <v>0</v>
      </c>
      <c r="CW341" s="15">
        <f t="shared" si="270"/>
        <v>0</v>
      </c>
      <c r="CX341" s="15">
        <f>CG341+CN341+CU341</f>
        <v>0</v>
      </c>
      <c r="CY341" s="15" t="e">
        <f>SUM(CE341,#REF!,CS341)</f>
        <v>#REF!</v>
      </c>
      <c r="CZ341" s="1" t="e">
        <f t="shared" si="285"/>
        <v>#REF!</v>
      </c>
      <c r="DA341" s="78"/>
    </row>
    <row r="342" spans="1:105">
      <c r="A342" s="87"/>
      <c r="B342" s="14"/>
      <c r="H342" s="15">
        <f t="shared" si="262"/>
        <v>0</v>
      </c>
      <c r="I342" s="18">
        <f t="shared" si="263"/>
        <v>0</v>
      </c>
      <c r="J342" s="15">
        <f t="shared" si="264"/>
        <v>0</v>
      </c>
      <c r="O342" s="15">
        <f t="shared" si="275"/>
        <v>0</v>
      </c>
      <c r="P342" s="18">
        <f t="shared" si="265"/>
        <v>0</v>
      </c>
      <c r="Q342" s="15">
        <f t="shared" si="266"/>
        <v>0</v>
      </c>
      <c r="V342" s="15">
        <f t="shared" si="271"/>
        <v>0</v>
      </c>
      <c r="W342" s="15">
        <f t="shared" si="272"/>
        <v>0</v>
      </c>
      <c r="X342" s="15">
        <f t="shared" si="261"/>
        <v>0</v>
      </c>
      <c r="Y342" s="15">
        <f>J342+Q342+X342</f>
        <v>0</v>
      </c>
      <c r="Z342" s="15">
        <f>SUM(H342,O342,V342)</f>
        <v>0</v>
      </c>
      <c r="AA342" s="78" t="e">
        <f t="shared" si="282"/>
        <v>#DIV/0!</v>
      </c>
      <c r="AB342" s="78"/>
      <c r="AG342" s="15">
        <f t="shared" si="276"/>
        <v>0</v>
      </c>
      <c r="AH342" s="15">
        <f t="shared" si="249"/>
        <v>0</v>
      </c>
      <c r="AI342" s="15">
        <f t="shared" si="250"/>
        <v>0</v>
      </c>
      <c r="AO342" s="15">
        <f t="shared" si="277"/>
        <v>0</v>
      </c>
      <c r="AP342" s="15">
        <f t="shared" si="251"/>
        <v>0</v>
      </c>
      <c r="AQ342" s="15">
        <f t="shared" si="252"/>
        <v>0</v>
      </c>
      <c r="AV342" s="15">
        <f>COUNTIF(AR342:AU342,"PR")</f>
        <v>0</v>
      </c>
      <c r="AW342" s="15">
        <f t="shared" si="273"/>
        <v>0</v>
      </c>
      <c r="AX342" s="15">
        <f t="shared" si="260"/>
        <v>0</v>
      </c>
      <c r="AY342" s="15">
        <f>AI342+AQ342+AX342</f>
        <v>0</v>
      </c>
      <c r="AZ342" s="15">
        <f>SUM(AG342,AO342,AV342)</f>
        <v>0</v>
      </c>
      <c r="BA342" s="78" t="e">
        <f t="shared" si="283"/>
        <v>#DIV/0!</v>
      </c>
      <c r="BD342" s="1"/>
      <c r="BF342" s="15">
        <f t="shared" si="278"/>
        <v>0</v>
      </c>
      <c r="BG342" s="15">
        <f t="shared" si="253"/>
        <v>0</v>
      </c>
      <c r="BH342" s="15">
        <f t="shared" si="254"/>
        <v>0</v>
      </c>
      <c r="BN342" s="15">
        <f t="shared" si="279"/>
        <v>0</v>
      </c>
      <c r="BO342" s="15">
        <f t="shared" si="274"/>
        <v>0</v>
      </c>
      <c r="BP342" s="15">
        <f t="shared" si="255"/>
        <v>0</v>
      </c>
      <c r="BU342" s="15">
        <f t="shared" si="280"/>
        <v>0</v>
      </c>
      <c r="BV342" s="15">
        <f t="shared" si="256"/>
        <v>0</v>
      </c>
      <c r="BW342" s="15">
        <f t="shared" si="257"/>
        <v>0</v>
      </c>
      <c r="BX342" s="15">
        <f t="shared" si="267"/>
        <v>0</v>
      </c>
      <c r="BY342" s="15">
        <f t="shared" si="268"/>
        <v>0</v>
      </c>
      <c r="BZ342" s="1" t="e">
        <f t="shared" si="284"/>
        <v>#DIV/0!</v>
      </c>
      <c r="CA342" s="78"/>
      <c r="CG342" s="15">
        <f>COUNTIF(CB342:CF342,"PR")</f>
        <v>0</v>
      </c>
      <c r="CH342" s="15">
        <f>COUNTIF(CB342:CF342,"AB")</f>
        <v>0</v>
      </c>
      <c r="CI342" s="15">
        <f t="shared" si="258"/>
        <v>0</v>
      </c>
      <c r="CN342" s="15">
        <f>COUNTIF(CJ342:CM342,"PR")</f>
        <v>0</v>
      </c>
      <c r="CO342" s="15">
        <f>COUNTIF(CJ342:CM342,"AB")</f>
        <v>0</v>
      </c>
      <c r="CP342" s="15">
        <f t="shared" si="259"/>
        <v>0</v>
      </c>
      <c r="CU342" s="15">
        <f t="shared" si="281"/>
        <v>0</v>
      </c>
      <c r="CV342" s="15">
        <f t="shared" si="269"/>
        <v>0</v>
      </c>
      <c r="CW342" s="15">
        <f t="shared" si="270"/>
        <v>0</v>
      </c>
      <c r="CX342" s="15">
        <f>CG342+CN342+CU342</f>
        <v>0</v>
      </c>
      <c r="CY342" s="15" t="e">
        <f>SUM(CE342,#REF!,CS342)</f>
        <v>#REF!</v>
      </c>
      <c r="CZ342" s="1" t="e">
        <f t="shared" si="285"/>
        <v>#REF!</v>
      </c>
      <c r="DA342" s="78"/>
    </row>
    <row r="343" spans="1:105">
      <c r="A343" s="87"/>
      <c r="B343" s="14"/>
      <c r="H343" s="15">
        <f t="shared" si="262"/>
        <v>0</v>
      </c>
      <c r="I343" s="18">
        <f t="shared" si="263"/>
        <v>0</v>
      </c>
      <c r="J343" s="15">
        <f t="shared" si="264"/>
        <v>0</v>
      </c>
      <c r="O343" s="15">
        <f t="shared" si="275"/>
        <v>0</v>
      </c>
      <c r="P343" s="18">
        <f t="shared" si="265"/>
        <v>0</v>
      </c>
      <c r="Q343" s="15">
        <f t="shared" si="266"/>
        <v>0</v>
      </c>
      <c r="V343" s="15">
        <f t="shared" si="271"/>
        <v>0</v>
      </c>
      <c r="W343" s="15">
        <f t="shared" si="272"/>
        <v>0</v>
      </c>
      <c r="X343" s="15">
        <f t="shared" si="261"/>
        <v>0</v>
      </c>
      <c r="Y343" s="15">
        <f>J343+Q343+X343</f>
        <v>0</v>
      </c>
      <c r="Z343" s="15">
        <f>SUM(H343,O343,V343)</f>
        <v>0</v>
      </c>
      <c r="AA343" s="78" t="e">
        <f t="shared" si="282"/>
        <v>#DIV/0!</v>
      </c>
      <c r="AB343" s="78"/>
      <c r="AG343" s="15">
        <f t="shared" si="276"/>
        <v>0</v>
      </c>
      <c r="AH343" s="15">
        <f t="shared" si="249"/>
        <v>0</v>
      </c>
      <c r="AI343" s="15">
        <f t="shared" si="250"/>
        <v>0</v>
      </c>
      <c r="AO343" s="15">
        <f t="shared" si="277"/>
        <v>0</v>
      </c>
      <c r="AP343" s="15">
        <f t="shared" si="251"/>
        <v>0</v>
      </c>
      <c r="AQ343" s="15">
        <f t="shared" si="252"/>
        <v>0</v>
      </c>
      <c r="AV343" s="15">
        <f>COUNTIF(AR343:AU343,"PR")</f>
        <v>0</v>
      </c>
      <c r="AW343" s="15">
        <f t="shared" si="273"/>
        <v>0</v>
      </c>
      <c r="AX343" s="15">
        <f t="shared" si="260"/>
        <v>0</v>
      </c>
      <c r="AY343" s="15">
        <f>AI343+AQ343+AX343</f>
        <v>0</v>
      </c>
      <c r="AZ343" s="15">
        <f>SUM(AG343,AO343,AV343)</f>
        <v>0</v>
      </c>
      <c r="BA343" s="78" t="e">
        <f t="shared" si="283"/>
        <v>#DIV/0!</v>
      </c>
      <c r="BD343" s="1"/>
      <c r="BF343" s="15">
        <f t="shared" si="278"/>
        <v>0</v>
      </c>
      <c r="BG343" s="15">
        <f t="shared" si="253"/>
        <v>0</v>
      </c>
      <c r="BH343" s="15">
        <f t="shared" si="254"/>
        <v>0</v>
      </c>
      <c r="BN343" s="15">
        <f t="shared" si="279"/>
        <v>0</v>
      </c>
      <c r="BO343" s="15">
        <f t="shared" si="274"/>
        <v>0</v>
      </c>
      <c r="BP343" s="15">
        <f t="shared" si="255"/>
        <v>0</v>
      </c>
      <c r="BU343" s="15">
        <f t="shared" si="280"/>
        <v>0</v>
      </c>
      <c r="BV343" s="15">
        <f t="shared" si="256"/>
        <v>0</v>
      </c>
      <c r="BW343" s="15">
        <f t="shared" si="257"/>
        <v>0</v>
      </c>
      <c r="BX343" s="15">
        <f t="shared" si="267"/>
        <v>0</v>
      </c>
      <c r="BY343" s="15">
        <f t="shared" si="268"/>
        <v>0</v>
      </c>
      <c r="BZ343" s="1" t="e">
        <f t="shared" si="284"/>
        <v>#DIV/0!</v>
      </c>
      <c r="CA343" s="78"/>
      <c r="CG343" s="15">
        <f>COUNTIF(CB343:CF343,"PR")</f>
        <v>0</v>
      </c>
      <c r="CH343" s="15">
        <f>COUNTIF(CB343:CF343,"AB")</f>
        <v>0</v>
      </c>
      <c r="CI343" s="15">
        <f t="shared" si="258"/>
        <v>0</v>
      </c>
      <c r="CN343" s="15">
        <f>COUNTIF(CJ343:CM343,"PR")</f>
        <v>0</v>
      </c>
      <c r="CO343" s="15">
        <f>COUNTIF(CJ343:CM343,"AB")</f>
        <v>0</v>
      </c>
      <c r="CP343" s="15">
        <f t="shared" si="259"/>
        <v>0</v>
      </c>
      <c r="CU343" s="15">
        <f t="shared" si="281"/>
        <v>0</v>
      </c>
      <c r="CV343" s="15">
        <f t="shared" si="269"/>
        <v>0</v>
      </c>
      <c r="CW343" s="15">
        <f t="shared" si="270"/>
        <v>0</v>
      </c>
      <c r="CX343" s="15">
        <f>CG343+CN343+CU343</f>
        <v>0</v>
      </c>
      <c r="CY343" s="15" t="e">
        <f>SUM(CE343,#REF!,CS343)</f>
        <v>#REF!</v>
      </c>
      <c r="CZ343" s="1" t="e">
        <f t="shared" si="285"/>
        <v>#REF!</v>
      </c>
      <c r="DA343" s="78"/>
    </row>
    <row r="344" spans="1:105">
      <c r="A344" s="87"/>
      <c r="B344" s="14"/>
      <c r="H344" s="15">
        <f t="shared" si="262"/>
        <v>0</v>
      </c>
      <c r="I344" s="18">
        <f t="shared" si="263"/>
        <v>0</v>
      </c>
      <c r="J344" s="15">
        <f t="shared" si="264"/>
        <v>0</v>
      </c>
      <c r="O344" s="15">
        <f t="shared" si="275"/>
        <v>0</v>
      </c>
      <c r="P344" s="18">
        <f t="shared" si="265"/>
        <v>0</v>
      </c>
      <c r="Q344" s="15">
        <f t="shared" si="266"/>
        <v>0</v>
      </c>
      <c r="V344" s="15">
        <f t="shared" si="271"/>
        <v>0</v>
      </c>
      <c r="W344" s="15">
        <f t="shared" si="272"/>
        <v>0</v>
      </c>
      <c r="X344" s="15">
        <f t="shared" si="261"/>
        <v>0</v>
      </c>
      <c r="Y344" s="15">
        <f>J344+Q344+X344</f>
        <v>0</v>
      </c>
      <c r="Z344" s="15">
        <f>SUM(H344,O344,V344)</f>
        <v>0</v>
      </c>
      <c r="AA344" s="78" t="e">
        <f t="shared" si="282"/>
        <v>#DIV/0!</v>
      </c>
      <c r="AB344" s="78"/>
      <c r="AC344" s="76"/>
      <c r="AD344" s="72"/>
      <c r="AE344" s="72"/>
      <c r="AF344" s="72"/>
      <c r="AG344" s="15">
        <f t="shared" si="276"/>
        <v>0</v>
      </c>
      <c r="AH344" s="15">
        <f t="shared" si="249"/>
        <v>0</v>
      </c>
      <c r="AI344" s="15">
        <f t="shared" si="250"/>
        <v>0</v>
      </c>
      <c r="AJ344" s="76"/>
      <c r="AK344" s="72"/>
      <c r="AL344" s="72"/>
      <c r="AM344" s="72"/>
      <c r="AN344" s="72"/>
      <c r="AO344" s="15">
        <f t="shared" si="277"/>
        <v>0</v>
      </c>
      <c r="AP344" s="15">
        <f t="shared" si="251"/>
        <v>0</v>
      </c>
      <c r="AQ344" s="15">
        <f t="shared" si="252"/>
        <v>0</v>
      </c>
      <c r="AR344" s="76"/>
      <c r="AU344" s="72"/>
      <c r="AV344" s="15">
        <f>COUNTIF(AR344:AU344,"PR")</f>
        <v>0</v>
      </c>
      <c r="AW344" s="15">
        <f t="shared" si="273"/>
        <v>0</v>
      </c>
      <c r="AX344" s="15">
        <f t="shared" si="260"/>
        <v>0</v>
      </c>
      <c r="AY344" s="15">
        <f>AI344+AQ344+AX344</f>
        <v>0</v>
      </c>
      <c r="AZ344" s="15">
        <f>SUM(AG344,AO344,AV344)</f>
        <v>0</v>
      </c>
      <c r="BA344" s="78" t="e">
        <f t="shared" si="283"/>
        <v>#DIV/0!</v>
      </c>
      <c r="BD344" s="1"/>
      <c r="BF344" s="15">
        <f t="shared" si="278"/>
        <v>0</v>
      </c>
      <c r="BG344" s="15">
        <f t="shared" si="253"/>
        <v>0</v>
      </c>
      <c r="BH344" s="15">
        <f t="shared" si="254"/>
        <v>0</v>
      </c>
      <c r="BN344" s="15">
        <f t="shared" si="279"/>
        <v>0</v>
      </c>
      <c r="BO344" s="15">
        <f t="shared" si="274"/>
        <v>0</v>
      </c>
      <c r="BP344" s="15">
        <f t="shared" si="255"/>
        <v>0</v>
      </c>
      <c r="BU344" s="15">
        <f t="shared" si="280"/>
        <v>0</v>
      </c>
      <c r="BV344" s="15">
        <f t="shared" si="256"/>
        <v>0</v>
      </c>
      <c r="BW344" s="15">
        <f t="shared" si="257"/>
        <v>0</v>
      </c>
      <c r="BX344" s="15">
        <f t="shared" si="267"/>
        <v>0</v>
      </c>
      <c r="BY344" s="15">
        <f t="shared" si="268"/>
        <v>0</v>
      </c>
      <c r="BZ344" s="1" t="e">
        <f t="shared" si="284"/>
        <v>#DIV/0!</v>
      </c>
      <c r="CA344" s="78"/>
      <c r="CG344" s="15">
        <f>COUNTIF(CB344:CF344,"PR")</f>
        <v>0</v>
      </c>
      <c r="CH344" s="15">
        <f>COUNTIF(CB344:CF344,"AB")</f>
        <v>0</v>
      </c>
      <c r="CI344" s="15">
        <f t="shared" si="258"/>
        <v>0</v>
      </c>
      <c r="CN344" s="15">
        <f>COUNTIF(CJ344:CM344,"PR")</f>
        <v>0</v>
      </c>
      <c r="CO344" s="15">
        <f>COUNTIF(CJ344:CM344,"AB")</f>
        <v>0</v>
      </c>
      <c r="CP344" s="15">
        <f t="shared" si="259"/>
        <v>0</v>
      </c>
      <c r="CU344" s="15">
        <f t="shared" si="281"/>
        <v>0</v>
      </c>
      <c r="CV344" s="15">
        <f t="shared" si="269"/>
        <v>0</v>
      </c>
      <c r="CW344" s="15">
        <f t="shared" si="270"/>
        <v>0</v>
      </c>
      <c r="CX344" s="15">
        <f>CG344+CN344+CU344</f>
        <v>0</v>
      </c>
      <c r="CY344" s="15" t="e">
        <f>SUM(CE344,#REF!,CS345)</f>
        <v>#REF!</v>
      </c>
      <c r="CZ344" s="1" t="e">
        <f t="shared" si="285"/>
        <v>#REF!</v>
      </c>
      <c r="DA344" s="78"/>
    </row>
    <row r="345" spans="1:105">
      <c r="A345" s="87"/>
      <c r="B345" s="14"/>
      <c r="H345" s="15">
        <f t="shared" si="262"/>
        <v>0</v>
      </c>
      <c r="I345" s="18">
        <f t="shared" si="263"/>
        <v>0</v>
      </c>
      <c r="J345" s="15">
        <f t="shared" si="264"/>
        <v>0</v>
      </c>
      <c r="O345" s="15">
        <f t="shared" si="275"/>
        <v>0</v>
      </c>
      <c r="P345" s="18">
        <f t="shared" si="265"/>
        <v>0</v>
      </c>
      <c r="Q345" s="15">
        <f t="shared" si="266"/>
        <v>0</v>
      </c>
      <c r="V345" s="15">
        <f t="shared" si="271"/>
        <v>0</v>
      </c>
      <c r="W345" s="15">
        <f t="shared" si="272"/>
        <v>0</v>
      </c>
      <c r="X345" s="15">
        <f t="shared" si="261"/>
        <v>0</v>
      </c>
      <c r="Y345" s="15">
        <f>J345+Q345+X345</f>
        <v>0</v>
      </c>
      <c r="Z345" s="15">
        <f>SUM(H345,O345,V345)</f>
        <v>0</v>
      </c>
      <c r="AA345" s="78" t="e">
        <f t="shared" si="282"/>
        <v>#DIV/0!</v>
      </c>
      <c r="AB345" s="78"/>
      <c r="AG345" s="15">
        <f t="shared" si="276"/>
        <v>0</v>
      </c>
      <c r="AH345" s="15">
        <f t="shared" si="249"/>
        <v>0</v>
      </c>
      <c r="AI345" s="15">
        <f t="shared" si="250"/>
        <v>0</v>
      </c>
      <c r="AO345" s="15">
        <f t="shared" si="277"/>
        <v>0</v>
      </c>
      <c r="AP345" s="15">
        <f t="shared" si="251"/>
        <v>0</v>
      </c>
      <c r="AQ345" s="15">
        <f t="shared" si="252"/>
        <v>0</v>
      </c>
      <c r="AV345" s="15">
        <f>COUNTIF(AR345:AU345,"PR")</f>
        <v>0</v>
      </c>
      <c r="AW345" s="15">
        <f t="shared" si="273"/>
        <v>0</v>
      </c>
      <c r="AX345" s="15">
        <f t="shared" si="260"/>
        <v>0</v>
      </c>
      <c r="AY345" s="15">
        <f>AI345+AQ345+AX345</f>
        <v>0</v>
      </c>
      <c r="AZ345" s="15">
        <f>SUM(AG345,AO345,AV345)</f>
        <v>0</v>
      </c>
      <c r="BA345" s="78" t="e">
        <f t="shared" si="283"/>
        <v>#DIV/0!</v>
      </c>
      <c r="BD345" s="1"/>
      <c r="BF345" s="15">
        <f t="shared" si="278"/>
        <v>0</v>
      </c>
      <c r="BG345" s="15">
        <f t="shared" si="253"/>
        <v>0</v>
      </c>
      <c r="BH345" s="15">
        <f t="shared" si="254"/>
        <v>0</v>
      </c>
      <c r="BN345" s="15">
        <f t="shared" si="279"/>
        <v>0</v>
      </c>
      <c r="BO345" s="15">
        <f t="shared" si="274"/>
        <v>0</v>
      </c>
      <c r="BP345" s="15">
        <f t="shared" si="255"/>
        <v>0</v>
      </c>
      <c r="BU345" s="15">
        <f t="shared" si="280"/>
        <v>0</v>
      </c>
      <c r="BV345" s="15">
        <f t="shared" si="256"/>
        <v>0</v>
      </c>
      <c r="BW345" s="15">
        <f t="shared" si="257"/>
        <v>0</v>
      </c>
      <c r="BX345" s="15">
        <f t="shared" si="267"/>
        <v>0</v>
      </c>
      <c r="BY345" s="15">
        <f t="shared" si="268"/>
        <v>0</v>
      </c>
      <c r="BZ345" s="1" t="e">
        <f t="shared" si="284"/>
        <v>#DIV/0!</v>
      </c>
      <c r="CA345" s="78"/>
      <c r="CG345" s="15">
        <f>COUNTIF(CB345:CF345,"PR")</f>
        <v>0</v>
      </c>
      <c r="CH345" s="15">
        <f>COUNTIF(CB345:CF345,"AB")</f>
        <v>0</v>
      </c>
      <c r="CI345" s="15">
        <f t="shared" si="258"/>
        <v>0</v>
      </c>
      <c r="CN345" s="15">
        <f>COUNTIF(CJ345:CM345,"PR")</f>
        <v>0</v>
      </c>
      <c r="CO345" s="15">
        <f>COUNTIF(CJ345:CM345,"AB")</f>
        <v>0</v>
      </c>
      <c r="CP345" s="15">
        <f t="shared" si="259"/>
        <v>0</v>
      </c>
      <c r="CU345" s="15">
        <f t="shared" si="281"/>
        <v>0</v>
      </c>
      <c r="CV345" s="15">
        <f t="shared" si="269"/>
        <v>0</v>
      </c>
      <c r="CW345" s="15">
        <f t="shared" si="270"/>
        <v>0</v>
      </c>
      <c r="CX345" s="15">
        <f>CG345+CN345+CU345</f>
        <v>0</v>
      </c>
      <c r="CY345" s="15" t="e">
        <f>SUM(CE345,#REF!,CS346)</f>
        <v>#REF!</v>
      </c>
      <c r="CZ345" s="1" t="e">
        <f t="shared" si="285"/>
        <v>#REF!</v>
      </c>
      <c r="DA345" s="78"/>
    </row>
    <row r="346" spans="1:105">
      <c r="A346" s="87"/>
      <c r="B346" s="14"/>
      <c r="H346" s="15">
        <f t="shared" si="262"/>
        <v>0</v>
      </c>
      <c r="I346" s="18">
        <f t="shared" si="263"/>
        <v>0</v>
      </c>
      <c r="J346" s="15">
        <f t="shared" si="264"/>
        <v>0</v>
      </c>
      <c r="O346" s="15">
        <f t="shared" si="275"/>
        <v>0</v>
      </c>
      <c r="P346" s="18">
        <f t="shared" si="265"/>
        <v>0</v>
      </c>
      <c r="Q346" s="15">
        <f t="shared" si="266"/>
        <v>0</v>
      </c>
      <c r="V346" s="15">
        <f t="shared" si="271"/>
        <v>0</v>
      </c>
      <c r="W346" s="15">
        <f t="shared" si="272"/>
        <v>0</v>
      </c>
      <c r="X346" s="15">
        <f t="shared" si="261"/>
        <v>0</v>
      </c>
      <c r="Y346" s="15">
        <f>J346+Q346+X346</f>
        <v>0</v>
      </c>
      <c r="Z346" s="15">
        <f>SUM(H346,O346,V346)</f>
        <v>0</v>
      </c>
      <c r="AA346" s="78" t="e">
        <f t="shared" si="282"/>
        <v>#DIV/0!</v>
      </c>
      <c r="AB346" s="78"/>
      <c r="AG346" s="15">
        <f t="shared" si="276"/>
        <v>0</v>
      </c>
      <c r="AH346" s="15">
        <f t="shared" si="249"/>
        <v>0</v>
      </c>
      <c r="AI346" s="15">
        <f t="shared" si="250"/>
        <v>0</v>
      </c>
      <c r="AO346" s="15">
        <f t="shared" si="277"/>
        <v>0</v>
      </c>
      <c r="AP346" s="15">
        <f t="shared" si="251"/>
        <v>0</v>
      </c>
      <c r="AQ346" s="15">
        <f t="shared" si="252"/>
        <v>0</v>
      </c>
      <c r="AV346" s="15">
        <f>COUNTIF(AR346:AU346,"PR")</f>
        <v>0</v>
      </c>
      <c r="AW346" s="15">
        <f t="shared" si="273"/>
        <v>0</v>
      </c>
      <c r="AX346" s="15">
        <f t="shared" si="260"/>
        <v>0</v>
      </c>
      <c r="AY346" s="15">
        <f>AI346+AQ346+AX346</f>
        <v>0</v>
      </c>
      <c r="AZ346" s="15">
        <f>SUM(AG346,AO346,AV346)</f>
        <v>0</v>
      </c>
      <c r="BA346" s="78" t="e">
        <f t="shared" si="283"/>
        <v>#DIV/0!</v>
      </c>
      <c r="BD346" s="1"/>
      <c r="BF346" s="15">
        <f t="shared" si="278"/>
        <v>0</v>
      </c>
      <c r="BG346" s="15">
        <f t="shared" si="253"/>
        <v>0</v>
      </c>
      <c r="BH346" s="15">
        <f t="shared" si="254"/>
        <v>0</v>
      </c>
      <c r="BN346" s="15">
        <f t="shared" si="279"/>
        <v>0</v>
      </c>
      <c r="BO346" s="15">
        <f t="shared" si="274"/>
        <v>0</v>
      </c>
      <c r="BP346" s="15">
        <f t="shared" si="255"/>
        <v>0</v>
      </c>
      <c r="BU346" s="15">
        <f t="shared" si="280"/>
        <v>0</v>
      </c>
      <c r="BV346" s="15">
        <f t="shared" si="256"/>
        <v>0</v>
      </c>
      <c r="BW346" s="15">
        <f t="shared" si="257"/>
        <v>0</v>
      </c>
      <c r="BX346" s="15">
        <f t="shared" si="267"/>
        <v>0</v>
      </c>
      <c r="BY346" s="15">
        <f t="shared" si="268"/>
        <v>0</v>
      </c>
      <c r="BZ346" s="1" t="e">
        <f t="shared" si="284"/>
        <v>#DIV/0!</v>
      </c>
      <c r="CA346" s="78"/>
      <c r="CG346" s="15">
        <f>COUNTIF(CB346:CF346,"PR")</f>
        <v>0</v>
      </c>
      <c r="CH346" s="15">
        <f>COUNTIF(CB346:CF346,"AB")</f>
        <v>0</v>
      </c>
      <c r="CI346" s="15">
        <f t="shared" si="258"/>
        <v>0</v>
      </c>
      <c r="CN346" s="15">
        <f>COUNTIF(CJ346:CM346,"PR")</f>
        <v>0</v>
      </c>
      <c r="CO346" s="15">
        <f>COUNTIF(CJ346:CM346,"AB")</f>
        <v>0</v>
      </c>
      <c r="CP346" s="15">
        <f t="shared" si="259"/>
        <v>0</v>
      </c>
      <c r="CU346" s="15">
        <f t="shared" si="281"/>
        <v>0</v>
      </c>
      <c r="CV346" s="15">
        <f t="shared" si="269"/>
        <v>0</v>
      </c>
      <c r="CW346" s="15">
        <f t="shared" si="270"/>
        <v>0</v>
      </c>
      <c r="CX346" s="15">
        <f>CG346+CN346+CU346</f>
        <v>0</v>
      </c>
      <c r="CY346" s="15" t="e">
        <f>SUM(CE346,#REF!,CS346)</f>
        <v>#REF!</v>
      </c>
      <c r="CZ346" s="1" t="e">
        <f t="shared" si="285"/>
        <v>#REF!</v>
      </c>
      <c r="DA346" s="78"/>
    </row>
    <row r="347" spans="1:105">
      <c r="A347" s="87"/>
      <c r="B347" s="14"/>
      <c r="H347" s="15">
        <f t="shared" si="262"/>
        <v>0</v>
      </c>
      <c r="I347" s="18">
        <f t="shared" si="263"/>
        <v>0</v>
      </c>
      <c r="J347" s="15">
        <f t="shared" si="264"/>
        <v>0</v>
      </c>
      <c r="O347" s="15">
        <f t="shared" si="275"/>
        <v>0</v>
      </c>
      <c r="P347" s="18">
        <f t="shared" si="265"/>
        <v>0</v>
      </c>
      <c r="Q347" s="15">
        <f t="shared" si="266"/>
        <v>0</v>
      </c>
      <c r="V347" s="15">
        <f t="shared" si="271"/>
        <v>0</v>
      </c>
      <c r="W347" s="15">
        <f t="shared" si="272"/>
        <v>0</v>
      </c>
      <c r="X347" s="15">
        <f t="shared" si="261"/>
        <v>0</v>
      </c>
      <c r="Y347" s="15">
        <f>J347+Q347+X347</f>
        <v>0</v>
      </c>
      <c r="Z347" s="15">
        <f>SUM(H347,O347,V347)</f>
        <v>0</v>
      </c>
      <c r="AA347" s="78" t="e">
        <f t="shared" si="282"/>
        <v>#DIV/0!</v>
      </c>
      <c r="AB347" s="78"/>
      <c r="AG347" s="15">
        <f t="shared" si="276"/>
        <v>0</v>
      </c>
      <c r="AH347" s="15">
        <f t="shared" si="249"/>
        <v>0</v>
      </c>
      <c r="AI347" s="15">
        <f t="shared" si="250"/>
        <v>0</v>
      </c>
      <c r="AO347" s="15">
        <f t="shared" si="277"/>
        <v>0</v>
      </c>
      <c r="AP347" s="15">
        <f t="shared" si="251"/>
        <v>0</v>
      </c>
      <c r="AQ347" s="15">
        <f t="shared" si="252"/>
        <v>0</v>
      </c>
      <c r="AV347" s="15">
        <f>COUNTIF(AR347:AU347,"PR")</f>
        <v>0</v>
      </c>
      <c r="AW347" s="15">
        <f t="shared" si="273"/>
        <v>0</v>
      </c>
      <c r="AX347" s="15">
        <f t="shared" si="260"/>
        <v>0</v>
      </c>
      <c r="AY347" s="15">
        <f>AI347+AQ347+AX347</f>
        <v>0</v>
      </c>
      <c r="AZ347" s="15">
        <f>SUM(AG347,AO347,AV347)</f>
        <v>0</v>
      </c>
      <c r="BA347" s="78" t="e">
        <f t="shared" si="283"/>
        <v>#DIV/0!</v>
      </c>
      <c r="BD347" s="1"/>
      <c r="BF347" s="15">
        <f t="shared" si="278"/>
        <v>0</v>
      </c>
      <c r="BG347" s="15">
        <f t="shared" si="253"/>
        <v>0</v>
      </c>
      <c r="BH347" s="15">
        <f t="shared" si="254"/>
        <v>0</v>
      </c>
      <c r="BN347" s="15">
        <f t="shared" si="279"/>
        <v>0</v>
      </c>
      <c r="BO347" s="15">
        <f t="shared" si="274"/>
        <v>0</v>
      </c>
      <c r="BP347" s="15">
        <f t="shared" si="255"/>
        <v>0</v>
      </c>
      <c r="BU347" s="15">
        <f t="shared" si="280"/>
        <v>0</v>
      </c>
      <c r="BV347" s="15">
        <f t="shared" si="256"/>
        <v>0</v>
      </c>
      <c r="BW347" s="15">
        <f t="shared" si="257"/>
        <v>0</v>
      </c>
      <c r="BX347" s="15">
        <f t="shared" si="267"/>
        <v>0</v>
      </c>
      <c r="BY347" s="15">
        <f t="shared" si="268"/>
        <v>0</v>
      </c>
      <c r="BZ347" s="1" t="e">
        <f t="shared" si="284"/>
        <v>#DIV/0!</v>
      </c>
      <c r="CA347" s="78"/>
      <c r="CG347" s="15">
        <f>COUNTIF(CB347:CF347,"PR")</f>
        <v>0</v>
      </c>
      <c r="CH347" s="15">
        <f>COUNTIF(CB347:CF347,"AB")</f>
        <v>0</v>
      </c>
      <c r="CI347" s="15">
        <f t="shared" si="258"/>
        <v>0</v>
      </c>
      <c r="CN347" s="15">
        <f>COUNTIF(CJ347:CM347,"PR")</f>
        <v>0</v>
      </c>
      <c r="CO347" s="15">
        <f>COUNTIF(CJ347:CM347,"AB")</f>
        <v>0</v>
      </c>
      <c r="CP347" s="15">
        <f t="shared" si="259"/>
        <v>0</v>
      </c>
      <c r="CU347" s="15">
        <f t="shared" si="281"/>
        <v>0</v>
      </c>
      <c r="CV347" s="15">
        <f t="shared" si="269"/>
        <v>0</v>
      </c>
      <c r="CW347" s="15">
        <f t="shared" si="270"/>
        <v>0</v>
      </c>
      <c r="CX347" s="15">
        <f>CG347+CN347+CU347</f>
        <v>0</v>
      </c>
      <c r="CY347" s="15" t="e">
        <f>SUM(CE347,#REF!,CS347)</f>
        <v>#REF!</v>
      </c>
      <c r="CZ347" s="1" t="e">
        <f t="shared" si="285"/>
        <v>#REF!</v>
      </c>
      <c r="DA347" s="78"/>
    </row>
    <row r="348" spans="1:105">
      <c r="A348" s="91"/>
      <c r="B348" s="14"/>
      <c r="H348" s="19">
        <f>SUM(H242:H347)</f>
        <v>0</v>
      </c>
      <c r="I348" s="18"/>
      <c r="J348" s="19">
        <f>SUM(J242:J347)</f>
        <v>0</v>
      </c>
      <c r="O348" s="19">
        <f>SUM(O242:O347)</f>
        <v>0</v>
      </c>
      <c r="P348" s="18"/>
      <c r="Q348" s="19">
        <f>SUM(Q242:Q347)</f>
        <v>0</v>
      </c>
      <c r="V348" s="19">
        <f>SUM(V242:V347)</f>
        <v>0</v>
      </c>
      <c r="W348" s="15"/>
      <c r="X348" s="15"/>
      <c r="Y348" s="15"/>
      <c r="Z348" s="15"/>
      <c r="AA348" s="1"/>
      <c r="AB348" s="1"/>
      <c r="AG348" s="19">
        <f>SUM(AG242:AG347)</f>
        <v>0</v>
      </c>
      <c r="AH348" s="15"/>
      <c r="AI348" s="15"/>
      <c r="AO348" s="19">
        <f>SUM(AO242:AO347)</f>
        <v>0</v>
      </c>
      <c r="AP348" s="15"/>
      <c r="AQ348" s="15"/>
      <c r="AV348" s="19">
        <f>SUM(AV242:AV347)</f>
        <v>0</v>
      </c>
      <c r="AW348" s="15"/>
      <c r="AX348" s="15"/>
      <c r="AY348" s="15"/>
      <c r="AZ348" s="15"/>
      <c r="BA348" s="1"/>
      <c r="BD348" s="1"/>
      <c r="BF348" s="19">
        <f>SUM(BF242:BF347)</f>
        <v>0</v>
      </c>
      <c r="BG348" s="15"/>
      <c r="BH348" s="15"/>
      <c r="BN348" s="19">
        <f>SUM(BN242:BN347)</f>
        <v>0</v>
      </c>
      <c r="BO348" s="15"/>
      <c r="BP348" s="15"/>
      <c r="BU348" s="19">
        <f>SUM(BU242:BU347)</f>
        <v>0</v>
      </c>
      <c r="BV348" s="15"/>
      <c r="BW348" s="15"/>
      <c r="BX348" s="15"/>
      <c r="BY348" s="15"/>
      <c r="BZ348" s="1"/>
      <c r="CA348" s="1"/>
      <c r="CG348" s="19">
        <f>SUM(CG242:CG347)</f>
        <v>0</v>
      </c>
      <c r="CH348" s="15"/>
      <c r="CI348" s="15"/>
      <c r="CN348" s="19">
        <f>SUM(CN242:CN347)</f>
        <v>0</v>
      </c>
      <c r="CO348" s="15"/>
      <c r="CP348" s="15"/>
      <c r="CU348" s="19">
        <f>SUM(CU242:CU347)</f>
        <v>0</v>
      </c>
      <c r="CV348" s="15"/>
      <c r="CW348" s="15"/>
      <c r="CX348" s="15"/>
      <c r="CY348" s="15"/>
      <c r="CZ348" s="1"/>
      <c r="DA348" s="1"/>
    </row>
    <row r="349" spans="1:105">
      <c r="A349" s="91"/>
      <c r="B349" s="13"/>
      <c r="C349" s="10">
        <f>COUNTIF(C5:C347,"PR")</f>
        <v>0</v>
      </c>
      <c r="D349" s="10"/>
      <c r="E349" s="10">
        <f>COUNTIF(E5:E347,"PR")</f>
        <v>0</v>
      </c>
      <c r="F349" s="10">
        <f>COUNTIF(F5:F347,"PR")</f>
        <v>0</v>
      </c>
      <c r="G349" s="10">
        <f>COUNTIF(G5:G347,"PR")</f>
        <v>0</v>
      </c>
      <c r="I349" s="18"/>
      <c r="J349" s="15"/>
      <c r="K349" s="12">
        <f>COUNTIF(K5:K347,"PR")</f>
        <v>0</v>
      </c>
      <c r="L349" s="12">
        <f>COUNTIF(L5:L347,"PR")</f>
        <v>0</v>
      </c>
      <c r="M349" s="12">
        <f>COUNTIF(M5:M347,"PR")</f>
        <v>0</v>
      </c>
      <c r="N349" s="12">
        <f>COUNTIF(N5:N347,"PR")</f>
        <v>0</v>
      </c>
      <c r="P349" s="19"/>
      <c r="Q349" s="19"/>
      <c r="R349" s="12">
        <f>COUNTIF(R5:R347,"PR")</f>
        <v>0</v>
      </c>
      <c r="S349" s="12">
        <f>COUNTIF(S5:S347,"PR")</f>
        <v>0</v>
      </c>
      <c r="T349" s="12">
        <f>COUNTIF(T5:T347,"PR")</f>
        <v>0</v>
      </c>
      <c r="U349" s="12">
        <f>COUNTIF(U5:U347,"PR")</f>
        <v>0</v>
      </c>
      <c r="W349" s="19"/>
      <c r="X349" s="15"/>
      <c r="Y349" s="15"/>
      <c r="Z349" s="20"/>
      <c r="AA349" s="22"/>
      <c r="AB349" s="22"/>
      <c r="AC349" s="12">
        <f>COUNTIF(AC5:AC347,"PR")</f>
        <v>0</v>
      </c>
      <c r="AD349" s="12">
        <f>COUNTIF(AD5:AD347,"PR")</f>
        <v>0</v>
      </c>
      <c r="AE349" s="12">
        <f>COUNTIF(AE5:AE347,"PR")</f>
        <v>0</v>
      </c>
      <c r="AF349" s="12">
        <f>COUNTIF(AF5:AF347,"PR")</f>
        <v>0</v>
      </c>
      <c r="AH349" s="15"/>
      <c r="AI349" s="15"/>
      <c r="AJ349" s="12">
        <f>COUNTIF(AJ5:AJ347,"PR")</f>
        <v>0</v>
      </c>
      <c r="AK349" s="12">
        <f>COUNTIF(AK5:AK347,"PR")</f>
        <v>0</v>
      </c>
      <c r="AL349" s="12">
        <f>COUNTIF(AL5:AL347,"PR")</f>
        <v>0</v>
      </c>
      <c r="AM349" s="12">
        <f>COUNTIF(AM5:AM347,"PR")</f>
        <v>0</v>
      </c>
      <c r="AN349" s="12">
        <f>COUNTIF(AN5:AN347,"PR")</f>
        <v>0</v>
      </c>
      <c r="AP349" s="15"/>
      <c r="AQ349" s="15"/>
      <c r="AR349" s="12">
        <f>COUNTIF(AR5:AR347,"PR")</f>
        <v>0</v>
      </c>
      <c r="AS349" s="12">
        <f>COUNTIF(AS5:AS347,"PR")</f>
        <v>0</v>
      </c>
      <c r="AT349" s="12">
        <f>COUNTIF(AT5:AT347,"PR")</f>
        <v>0</v>
      </c>
      <c r="AU349" s="12">
        <f>COUNTIF(AU5:AU347,"PR")</f>
        <v>0</v>
      </c>
      <c r="AW349" s="15"/>
      <c r="AX349" s="15"/>
      <c r="AY349" s="15"/>
      <c r="AZ349" s="20"/>
      <c r="BA349" s="1" t="e">
        <f t="shared" si="283"/>
        <v>#DIV/0!</v>
      </c>
      <c r="BB349" s="12">
        <f>COUNTIF(BB5:BB347,"PR")</f>
        <v>0</v>
      </c>
      <c r="BC349" s="12">
        <f>COUNTIF(BC5:BC347,"PR")</f>
        <v>0</v>
      </c>
      <c r="BD349" s="12">
        <f>COUNTIF(BD5:BD347,"PR")</f>
        <v>0</v>
      </c>
      <c r="BE349" s="12">
        <f>COUNTIF(BE5:BE347,"PR")</f>
        <v>0</v>
      </c>
      <c r="BG349" s="15"/>
      <c r="BH349" s="15"/>
      <c r="BI349" s="12">
        <f>COUNTIF(BI5:BI347,"PR")</f>
        <v>0</v>
      </c>
      <c r="BJ349" s="12">
        <f>COUNTIF(BJ5:BJ347,"PR")</f>
        <v>0</v>
      </c>
      <c r="BK349" s="12">
        <f>COUNTIF(BK5:BK347,"PR")</f>
        <v>0</v>
      </c>
      <c r="BL349" s="12">
        <f>COUNTIF(BL5:BL347,"PR")</f>
        <v>0</v>
      </c>
      <c r="BM349" s="12">
        <f>COUNTIF(BM5:BM347,"PR")</f>
        <v>0</v>
      </c>
      <c r="BO349" s="15"/>
      <c r="BP349" s="15"/>
      <c r="BQ349" s="12">
        <f>COUNTIF(BQ5:BQ347,"PR")</f>
        <v>0</v>
      </c>
      <c r="BR349" s="12">
        <f>COUNTIF(BR5:BR347,"PR")</f>
        <v>0</v>
      </c>
      <c r="BS349" s="12">
        <f>COUNTIF(BS5:BS347,"PR")</f>
        <v>0</v>
      </c>
      <c r="BT349" s="12">
        <f>COUNTIF(BT5:BT347,"PR")</f>
        <v>0</v>
      </c>
      <c r="BV349" s="15"/>
      <c r="BW349" s="15"/>
      <c r="BX349" s="15"/>
      <c r="BY349" s="20"/>
      <c r="BZ349" s="1" t="e">
        <f>BY349/BX349*100</f>
        <v>#DIV/0!</v>
      </c>
      <c r="CA349" s="22"/>
      <c r="CB349" s="12">
        <f>COUNTIF(CB5:CB347,"PR")</f>
        <v>0</v>
      </c>
      <c r="CC349" s="12"/>
      <c r="CD349" s="12">
        <f>COUNTIF(CD5:CD347,"PR")</f>
        <v>0</v>
      </c>
      <c r="CE349" s="12">
        <f>COUNTIF(CE5:CE347,"PR")</f>
        <v>0</v>
      </c>
      <c r="CF349" s="12">
        <f>COUNTIF(CF5:CF347,"PR")</f>
        <v>0</v>
      </c>
      <c r="CH349" s="15"/>
      <c r="CI349" s="15"/>
      <c r="CJ349" s="12">
        <f>COUNTIF(CJ5:CJ347,"PR")</f>
        <v>0</v>
      </c>
      <c r="CK349" s="12">
        <f>COUNTIF(CK5:CK347,"PR")</f>
        <v>0</v>
      </c>
      <c r="CL349" s="12">
        <f>COUNTIF(CL5:CL347,"PR")</f>
        <v>0</v>
      </c>
      <c r="CM349" s="12">
        <f>COUNTIF(CM5:CM347,"PR")</f>
        <v>0</v>
      </c>
      <c r="CO349" s="15">
        <f t="shared" ref="CO349:CO351" si="286">COUNTIF(CK349:CM349,"AB")</f>
        <v>0</v>
      </c>
      <c r="CP349" s="15">
        <f>CN348+CO349</f>
        <v>0</v>
      </c>
      <c r="CQ349" s="12">
        <f>COUNTIF(CQ5:CQ347,"PR")</f>
        <v>0</v>
      </c>
      <c r="CR349" s="12">
        <f>COUNTIF(CR5:CR347,"PR")</f>
        <v>0</v>
      </c>
      <c r="CS349" s="12">
        <f>COUNTIF(CS5:CS347,"PR")</f>
        <v>0</v>
      </c>
      <c r="CT349" s="12">
        <f>COUNTIF(CT5:CT347,"PR")</f>
        <v>0</v>
      </c>
      <c r="CV349" s="15"/>
      <c r="CW349" s="15"/>
      <c r="CX349" s="15"/>
      <c r="CY349" s="20"/>
      <c r="CZ349" s="1" t="e">
        <f t="shared" si="285"/>
        <v>#DIV/0!</v>
      </c>
      <c r="DA349" s="22"/>
    </row>
    <row r="350" spans="1:105">
      <c r="A350" s="91"/>
      <c r="B350" s="13"/>
      <c r="C350" s="10">
        <f>COUNTIF(C5:C347,"AB")</f>
        <v>0</v>
      </c>
      <c r="D350" s="10"/>
      <c r="E350" s="10">
        <f>COUNTIF(E5:E347,"AB")</f>
        <v>0</v>
      </c>
      <c r="F350" s="10">
        <f>COUNTIF(F5:F347,"AB")</f>
        <v>0</v>
      </c>
      <c r="G350" s="10">
        <f>COUNTIF(G5:G347,"AB")</f>
        <v>0</v>
      </c>
      <c r="H350" s="20"/>
      <c r="I350" s="18"/>
      <c r="J350" s="15"/>
      <c r="K350" s="12">
        <f>COUNTIF(K5:K347,"AB")</f>
        <v>0</v>
      </c>
      <c r="L350" s="12">
        <f>COUNTIF(L5:L347,"AB")</f>
        <v>0</v>
      </c>
      <c r="M350" s="12">
        <f>COUNTIF(M5:M347,"AB")</f>
        <v>0</v>
      </c>
      <c r="N350" s="12">
        <f>COUNTIF(N5:N347,"AB")</f>
        <v>0</v>
      </c>
      <c r="O350" s="20"/>
      <c r="P350" s="20"/>
      <c r="Q350" s="20"/>
      <c r="R350" s="12">
        <f>COUNTIF(R5:R347,"AB")</f>
        <v>0</v>
      </c>
      <c r="S350" s="12">
        <f>COUNTIF(S5:S347,"AB")</f>
        <v>0</v>
      </c>
      <c r="T350" s="12">
        <f>COUNTIF(T5:T347,"AB")</f>
        <v>0</v>
      </c>
      <c r="U350" s="12">
        <f>COUNTIF(U5:U347,"AB")</f>
        <v>0</v>
      </c>
      <c r="V350" s="20"/>
      <c r="W350" s="20"/>
      <c r="X350" s="15"/>
      <c r="Y350" s="15"/>
      <c r="Z350" s="20"/>
      <c r="AA350" s="22"/>
      <c r="AB350" s="22"/>
      <c r="AC350" s="12">
        <f>COUNTIF(AC5:AC347,"AB")</f>
        <v>0</v>
      </c>
      <c r="AD350" s="12">
        <f>COUNTIF(AD5:AD347,"AB")</f>
        <v>0</v>
      </c>
      <c r="AE350" s="12">
        <f>COUNTIF(AE5:AE347,"AB")</f>
        <v>0</v>
      </c>
      <c r="AF350" s="12">
        <f>COUNTIF(AF5:AF347,"AB")</f>
        <v>0</v>
      </c>
      <c r="AG350" s="23"/>
      <c r="AH350" s="15"/>
      <c r="AI350" s="15"/>
      <c r="AJ350" s="12">
        <f>COUNTIF(AJ5:AJ347,"AB")</f>
        <v>0</v>
      </c>
      <c r="AK350" s="12"/>
      <c r="AL350" s="12">
        <f>COUNTIF(AL5:AL347,"AB")</f>
        <v>0</v>
      </c>
      <c r="AM350" s="12">
        <f>COUNTIF(AM5:AM347,"AB")</f>
        <v>0</v>
      </c>
      <c r="AN350" s="12">
        <f>COUNTIF(AN5:AN347,"AB")</f>
        <v>0</v>
      </c>
      <c r="AO350" s="23"/>
      <c r="AP350" s="15"/>
      <c r="AQ350" s="15"/>
      <c r="AR350" s="12">
        <f>COUNTIF(AR5:AR347,"AB")</f>
        <v>0</v>
      </c>
      <c r="AS350" s="12">
        <f>COUNTIF(AS5:AS347,"AB")</f>
        <v>0</v>
      </c>
      <c r="AT350" s="12">
        <f>COUNTIF(AT5:AT347,"AB")</f>
        <v>0</v>
      </c>
      <c r="AU350" s="12">
        <f>COUNTIF(AU5:AU347,"AB")</f>
        <v>0</v>
      </c>
      <c r="AV350" s="23"/>
      <c r="AW350" s="15"/>
      <c r="AX350" s="15"/>
      <c r="AY350" s="15"/>
      <c r="AZ350" s="20"/>
      <c r="BA350" s="1" t="e">
        <f t="shared" si="283"/>
        <v>#DIV/0!</v>
      </c>
      <c r="BB350" s="12">
        <f>COUNTIF(BB5:BB347,"AB")</f>
        <v>0</v>
      </c>
      <c r="BC350" s="12">
        <f>COUNTIF(BC5:BC347,"AB")</f>
        <v>0</v>
      </c>
      <c r="BD350" s="12">
        <f>COUNTIF(BD5:BD347,"AB")</f>
        <v>0</v>
      </c>
      <c r="BE350" s="12">
        <f>COUNTIF(BE5:BE347,"AB")</f>
        <v>0</v>
      </c>
      <c r="BF350" s="23"/>
      <c r="BG350" s="15"/>
      <c r="BH350" s="15"/>
      <c r="BI350" s="12">
        <f>COUNTIF(BI5:BI347,"AB")</f>
        <v>0</v>
      </c>
      <c r="BJ350" s="12">
        <f>COUNTIF(BJ5:BJ347,"AB")</f>
        <v>0</v>
      </c>
      <c r="BK350" s="12">
        <f>COUNTIF(BK5:BK347,"AB")</f>
        <v>0</v>
      </c>
      <c r="BL350" s="12">
        <f>COUNTIF(BL5:BL347,"AB")</f>
        <v>0</v>
      </c>
      <c r="BM350" s="12">
        <f>COUNTIF(BM5:BM347,"AB")</f>
        <v>0</v>
      </c>
      <c r="BN350" s="23"/>
      <c r="BO350" s="15"/>
      <c r="BP350" s="15"/>
      <c r="BQ350" s="12">
        <f>COUNTIF(BQ5:BQ347,"AB")</f>
        <v>0</v>
      </c>
      <c r="BR350" s="12">
        <f>COUNTIF(BR5:BR347,"AB")</f>
        <v>0</v>
      </c>
      <c r="BS350" s="12">
        <f>COUNTIF(BS5:BS347,"AB")</f>
        <v>0</v>
      </c>
      <c r="BT350" s="12">
        <f>COUNTIF(BT5:BT347,"AB")</f>
        <v>0</v>
      </c>
      <c r="BU350" s="23"/>
      <c r="BV350" s="15"/>
      <c r="BW350" s="15"/>
      <c r="BX350" s="15"/>
      <c r="BY350" s="20"/>
      <c r="BZ350" s="1" t="e">
        <f>BY350/BX350*100</f>
        <v>#DIV/0!</v>
      </c>
      <c r="CA350" s="22"/>
      <c r="CB350" s="12">
        <f>COUNTIF(CB5:CB347,"AB")</f>
        <v>0</v>
      </c>
      <c r="CC350" s="12"/>
      <c r="CD350" s="12">
        <f>COUNTIF(CD5:CD347,"AB")</f>
        <v>0</v>
      </c>
      <c r="CE350" s="12">
        <f>COUNTIF(CE5:CE347,"AB")</f>
        <v>0</v>
      </c>
      <c r="CF350" s="12">
        <f>COUNTIF(CF5:CF347,"AB")</f>
        <v>0</v>
      </c>
      <c r="CG350" s="23"/>
      <c r="CH350" s="15"/>
      <c r="CI350" s="15"/>
      <c r="CJ350" s="12">
        <f>COUNTIF(CJ5:CJ347,"AB")</f>
        <v>0</v>
      </c>
      <c r="CK350" s="12">
        <f>COUNTIF(CK5:CK347,"AB")</f>
        <v>0</v>
      </c>
      <c r="CL350" s="12">
        <f>COUNTIF(CL5:CL347,"AB")</f>
        <v>0</v>
      </c>
      <c r="CM350" s="12">
        <f>COUNTIF(CM5:CM347,"AB")</f>
        <v>0</v>
      </c>
      <c r="CN350" s="23"/>
      <c r="CO350" s="15">
        <f t="shared" si="286"/>
        <v>0</v>
      </c>
      <c r="CP350" s="15">
        <f t="shared" si="259"/>
        <v>0</v>
      </c>
      <c r="CQ350" s="12">
        <f>COUNTIF(CQ5:CQ347,"AB")</f>
        <v>0</v>
      </c>
      <c r="CR350" s="12">
        <f>COUNTIF(CR5:CR347,"AB")</f>
        <v>0</v>
      </c>
      <c r="CS350" s="12">
        <f>COUNTIF(CS5:CS347,"AB")</f>
        <v>0</v>
      </c>
      <c r="CT350" s="12">
        <f>COUNTIF(CT5:CT347,"AB")</f>
        <v>0</v>
      </c>
      <c r="CU350" s="23"/>
      <c r="CV350" s="15"/>
      <c r="CW350" s="15"/>
      <c r="CX350" s="15"/>
      <c r="CY350" s="20"/>
      <c r="CZ350" s="1" t="e">
        <f t="shared" si="285"/>
        <v>#DIV/0!</v>
      </c>
      <c r="DA350" s="22"/>
    </row>
    <row r="351" spans="1:105">
      <c r="A351" s="91"/>
      <c r="B351" s="13"/>
      <c r="C351" s="10">
        <f>C349+C350</f>
        <v>0</v>
      </c>
      <c r="D351" s="10"/>
      <c r="E351" s="10">
        <f>E349+E350</f>
        <v>0</v>
      </c>
      <c r="F351" s="10">
        <f>F349+F350</f>
        <v>0</v>
      </c>
      <c r="G351" s="10">
        <f>G349+G350</f>
        <v>0</v>
      </c>
      <c r="H351" s="20">
        <f>SUM(C351:G351)</f>
        <v>0</v>
      </c>
      <c r="I351" s="18"/>
      <c r="J351" s="15"/>
      <c r="K351" s="12">
        <f>K349+K350</f>
        <v>0</v>
      </c>
      <c r="L351" s="12">
        <f>L349+L350</f>
        <v>0</v>
      </c>
      <c r="M351" s="12">
        <f>M349+M350</f>
        <v>0</v>
      </c>
      <c r="N351" s="12">
        <f>N349+N350</f>
        <v>0</v>
      </c>
      <c r="O351" s="20">
        <f>SUM(K351:N351)</f>
        <v>0</v>
      </c>
      <c r="P351" s="20"/>
      <c r="Q351" s="20"/>
      <c r="R351" s="12">
        <f>R349+R350</f>
        <v>0</v>
      </c>
      <c r="S351" s="12">
        <f>S349+S350</f>
        <v>0</v>
      </c>
      <c r="T351" s="12">
        <f>T349+T350</f>
        <v>0</v>
      </c>
      <c r="U351" s="12">
        <f>U349+U350</f>
        <v>0</v>
      </c>
      <c r="V351" s="20">
        <f>SUM(R351:U351)</f>
        <v>0</v>
      </c>
      <c r="W351" s="20"/>
      <c r="X351" s="15"/>
      <c r="Y351" s="15"/>
      <c r="Z351" s="20"/>
      <c r="AA351" s="22"/>
      <c r="AB351" s="22"/>
      <c r="AC351" s="12">
        <f>AC349+AC350</f>
        <v>0</v>
      </c>
      <c r="AD351" s="12">
        <f>AD349+AD350</f>
        <v>0</v>
      </c>
      <c r="AE351" s="12">
        <f>AE349+AE350</f>
        <v>0</v>
      </c>
      <c r="AF351" s="12">
        <f>AF349+AF350</f>
        <v>0</v>
      </c>
      <c r="AG351" s="20">
        <f>SUM(AC351:AF351)</f>
        <v>0</v>
      </c>
      <c r="AH351" s="15"/>
      <c r="AI351" s="15"/>
      <c r="AJ351" s="12">
        <f>AJ349+AJ350</f>
        <v>0</v>
      </c>
      <c r="AK351" s="12"/>
      <c r="AL351" s="12">
        <f>AL349+AL350</f>
        <v>0</v>
      </c>
      <c r="AM351" s="12">
        <f>AM349+AM350</f>
        <v>0</v>
      </c>
      <c r="AN351" s="12">
        <f>AN349+AN350</f>
        <v>0</v>
      </c>
      <c r="AO351" s="20">
        <f>SUM(AJ351:AN351)</f>
        <v>0</v>
      </c>
      <c r="AP351" s="15"/>
      <c r="AQ351" s="15"/>
      <c r="AR351" s="12">
        <f>AR349+AR350</f>
        <v>0</v>
      </c>
      <c r="AS351" s="12">
        <f>AS349+AS350</f>
        <v>0</v>
      </c>
      <c r="AT351" s="12">
        <f>AT349+AT350</f>
        <v>0</v>
      </c>
      <c r="AU351" s="12">
        <f>AU349+AU350</f>
        <v>0</v>
      </c>
      <c r="AV351" s="20">
        <f>SUM(AR351:AU351)</f>
        <v>0</v>
      </c>
      <c r="AW351" s="15"/>
      <c r="AX351" s="15"/>
      <c r="AY351" s="15"/>
      <c r="AZ351" s="20"/>
      <c r="BA351" s="1" t="e">
        <f t="shared" si="283"/>
        <v>#DIV/0!</v>
      </c>
      <c r="BB351" s="12">
        <f>BB349+BB350</f>
        <v>0</v>
      </c>
      <c r="BC351" s="12">
        <f>BC349+BC350</f>
        <v>0</v>
      </c>
      <c r="BD351" s="12">
        <f>BD349+BD350</f>
        <v>0</v>
      </c>
      <c r="BE351" s="12">
        <f>BE349+BE350</f>
        <v>0</v>
      </c>
      <c r="BF351" s="20">
        <f>SUM(BB351:BE351)</f>
        <v>0</v>
      </c>
      <c r="BG351" s="15"/>
      <c r="BH351" s="15"/>
      <c r="BI351" s="12">
        <f>BI349+BI350</f>
        <v>0</v>
      </c>
      <c r="BJ351" s="12">
        <f>BJ349+BJ350</f>
        <v>0</v>
      </c>
      <c r="BK351" s="12">
        <f>BK349+BK350</f>
        <v>0</v>
      </c>
      <c r="BL351" s="12">
        <f>BL349+BL350</f>
        <v>0</v>
      </c>
      <c r="BM351" s="12">
        <f>BM349+BM350</f>
        <v>0</v>
      </c>
      <c r="BN351" s="20">
        <f>SUM(BI351:BM351)</f>
        <v>0</v>
      </c>
      <c r="BO351" s="15"/>
      <c r="BP351" s="15"/>
      <c r="BQ351" s="12">
        <f>BQ349+BQ350</f>
        <v>0</v>
      </c>
      <c r="BR351" s="12">
        <f>BR349+BR350</f>
        <v>0</v>
      </c>
      <c r="BS351" s="12">
        <f>BS349+BS350</f>
        <v>0</v>
      </c>
      <c r="BT351" s="12">
        <f>BT349+BT350</f>
        <v>0</v>
      </c>
      <c r="BU351" s="20">
        <f>SUM(BQ351:BT351)</f>
        <v>0</v>
      </c>
      <c r="BV351" s="15"/>
      <c r="BW351" s="15"/>
      <c r="BX351" s="15"/>
      <c r="BY351" s="20"/>
      <c r="BZ351" s="1" t="e">
        <f>BY351/BX351*100</f>
        <v>#DIV/0!</v>
      </c>
      <c r="CA351" s="22"/>
      <c r="CB351" s="12">
        <f>CB349+CB350</f>
        <v>0</v>
      </c>
      <c r="CC351" s="12"/>
      <c r="CD351" s="12">
        <f>CD349+CD350</f>
        <v>0</v>
      </c>
      <c r="CE351" s="12">
        <f>CE349+CE350</f>
        <v>0</v>
      </c>
      <c r="CF351" s="12">
        <f>CF349+CF350</f>
        <v>0</v>
      </c>
      <c r="CG351" s="20">
        <f>SUM(CB351:CF351)</f>
        <v>0</v>
      </c>
      <c r="CH351" s="15"/>
      <c r="CI351" s="15"/>
      <c r="CJ351" s="12">
        <f>CJ349+CJ350</f>
        <v>0</v>
      </c>
      <c r="CK351" s="12">
        <f>CK349+CK350</f>
        <v>0</v>
      </c>
      <c r="CL351" s="12">
        <f>CL349+CL350</f>
        <v>0</v>
      </c>
      <c r="CM351" s="12">
        <f>CM349+CM350</f>
        <v>0</v>
      </c>
      <c r="CN351" s="20">
        <f>SUM(CJ351:CM351)</f>
        <v>0</v>
      </c>
      <c r="CO351" s="15">
        <f t="shared" si="286"/>
        <v>0</v>
      </c>
      <c r="CP351" s="15"/>
      <c r="CQ351" s="12">
        <f>CQ349+CQ350</f>
        <v>0</v>
      </c>
      <c r="CR351" s="12">
        <f>CR349+CR350</f>
        <v>0</v>
      </c>
      <c r="CS351" s="12">
        <f>CS349+CS350</f>
        <v>0</v>
      </c>
      <c r="CT351" s="12">
        <f>CT349+CT350</f>
        <v>0</v>
      </c>
      <c r="CU351" s="20">
        <f>SUM(CQ351:CT351)</f>
        <v>0</v>
      </c>
      <c r="CV351" s="15"/>
      <c r="CW351" s="15"/>
      <c r="CX351" s="15"/>
      <c r="CY351" s="20"/>
      <c r="CZ351" s="1" t="e">
        <f t="shared" si="285"/>
        <v>#DIV/0!</v>
      </c>
      <c r="DA351" s="22"/>
    </row>
    <row r="352" spans="1:105">
      <c r="C352" s="9">
        <f>C349+E349+F349+G349</f>
        <v>0</v>
      </c>
      <c r="K352" s="9">
        <f>K349+L349+M349+N349</f>
        <v>0</v>
      </c>
      <c r="R352" s="9" t="e">
        <f>R349+S349+T349+#REF!</f>
        <v>#REF!</v>
      </c>
      <c r="AC352" s="9">
        <f>AC349+AD349+AE349+AF349</f>
        <v>0</v>
      </c>
      <c r="AJ352" s="9">
        <f>AJ349+AL349+AM349+AN349</f>
        <v>0</v>
      </c>
      <c r="AR352" s="9" t="e">
        <f>AR349+AS349+AT349+#REF!</f>
        <v>#REF!</v>
      </c>
      <c r="BB352" s="9">
        <f>BB349+BC349+BD349+BE349</f>
        <v>0</v>
      </c>
      <c r="BI352" s="9">
        <f>BI349+BJ349+BK349+BL349+BM349</f>
        <v>0</v>
      </c>
      <c r="BQ352" s="9">
        <f>BQ349+BR349+BS349</f>
        <v>0</v>
      </c>
      <c r="CB352" s="9">
        <f>CB349+CD349+CE349+CF349</f>
        <v>0</v>
      </c>
      <c r="CJ352" s="9" t="e">
        <f>CJ349+CK349+#REF!+CL349+CM349</f>
        <v>#REF!</v>
      </c>
      <c r="CQ352" s="9">
        <f>CQ349+CR349+CS349</f>
        <v>0</v>
      </c>
    </row>
    <row r="353" spans="3:95">
      <c r="C353" s="21">
        <f>C352/4</f>
        <v>0</v>
      </c>
      <c r="D353" s="21"/>
      <c r="K353" s="9">
        <f>K352/4</f>
        <v>0</v>
      </c>
      <c r="R353" s="21" t="e">
        <f>R352/4</f>
        <v>#REF!</v>
      </c>
      <c r="AC353" s="9">
        <f>AC352/4</f>
        <v>0</v>
      </c>
      <c r="AJ353" s="9">
        <f>AJ352/4</f>
        <v>0</v>
      </c>
      <c r="AR353" s="9" t="e">
        <f>AR352/4</f>
        <v>#REF!</v>
      </c>
      <c r="BB353" s="9">
        <f>BB352/4</f>
        <v>0</v>
      </c>
      <c r="BI353" s="9">
        <f>BI352/5</f>
        <v>0</v>
      </c>
      <c r="BQ353" s="9">
        <f>BQ352/3</f>
        <v>0</v>
      </c>
      <c r="CB353" s="9">
        <f>CB352/4</f>
        <v>0</v>
      </c>
      <c r="CJ353" s="9" t="e">
        <f>CJ352/5</f>
        <v>#REF!</v>
      </c>
      <c r="CQ353" s="9">
        <f>CQ352/3</f>
        <v>0</v>
      </c>
    </row>
  </sheetData>
  <mergeCells count="12">
    <mergeCell ref="CQ1:CT2"/>
    <mergeCell ref="BI1:BM2"/>
    <mergeCell ref="CJ1:CM2"/>
    <mergeCell ref="AC1:AF2"/>
    <mergeCell ref="BQ1:BT2"/>
    <mergeCell ref="K1:N2"/>
    <mergeCell ref="CB1:CF2"/>
    <mergeCell ref="C1:G2"/>
    <mergeCell ref="AJ1:AN2"/>
    <mergeCell ref="R1:U2"/>
    <mergeCell ref="AR1:AU2"/>
    <mergeCell ref="BB1:BE2"/>
  </mergeCells>
  <phoneticPr fontId="14" type="noConversion"/>
  <conditionalFormatting sqref="H5:H12">
    <cfRule type="colorScale" priority="1991">
      <colorScale>
        <cfvo type="min"/>
        <cfvo type="max"/>
        <color rgb="FFFF0000"/>
        <color rgb="FF00B050"/>
      </colorScale>
    </cfRule>
  </conditionalFormatting>
  <conditionalFormatting sqref="H17:H19 H15">
    <cfRule type="colorScale" priority="4235">
      <colorScale>
        <cfvo type="min"/>
        <cfvo type="max"/>
        <color rgb="FFFF0000"/>
        <color rgb="FF00B050"/>
      </colorScale>
    </cfRule>
    <cfRule type="colorScale" priority="4236">
      <colorScale>
        <cfvo type="min"/>
        <cfvo type="max"/>
        <color rgb="FFFF0000"/>
        <color rgb="FF00B050"/>
      </colorScale>
    </cfRule>
  </conditionalFormatting>
  <conditionalFormatting sqref="H22:H27 H173 H30:H34 H16">
    <cfRule type="colorScale" priority="11433">
      <colorScale>
        <cfvo type="min"/>
        <cfvo type="max"/>
        <color rgb="FFFF0000"/>
        <color rgb="FF00B050"/>
      </colorScale>
    </cfRule>
  </conditionalFormatting>
  <conditionalFormatting sqref="H37:H136 H28:H29">
    <cfRule type="colorScale" priority="515">
      <colorScale>
        <cfvo type="min"/>
        <cfvo type="max"/>
        <color rgb="FFFF0000"/>
        <color rgb="FF00B050"/>
      </colorScale>
    </cfRule>
  </conditionalFormatting>
  <conditionalFormatting sqref="H139:H172 H174:H239">
    <cfRule type="colorScale" priority="514">
      <colorScale>
        <cfvo type="min"/>
        <cfvo type="max"/>
        <color rgb="FFFF0000"/>
        <color rgb="FF00B050"/>
      </colorScale>
    </cfRule>
  </conditionalFormatting>
  <conditionalFormatting sqref="H242:H347">
    <cfRule type="colorScale" priority="11464">
      <colorScale>
        <cfvo type="min"/>
        <cfvo type="max"/>
        <color rgb="FFFF0000"/>
        <color rgb="FF00B050"/>
      </colorScale>
    </cfRule>
  </conditionalFormatting>
  <conditionalFormatting sqref="J36:J136 J5:J19 J21:J34 J138:J239 J241:J347 J349:J351">
    <cfRule type="colorScale" priority="522">
      <colorScale>
        <cfvo type="min"/>
        <cfvo type="max"/>
        <color rgb="FFFF0000"/>
        <color rgb="FF00B050"/>
      </colorScale>
    </cfRule>
  </conditionalFormatting>
  <conditionalFormatting sqref="O5:O12">
    <cfRule type="colorScale" priority="1993">
      <colorScale>
        <cfvo type="min"/>
        <cfvo type="max"/>
        <color rgb="FFFF0000"/>
        <color rgb="FF00B050"/>
      </colorScale>
    </cfRule>
  </conditionalFormatting>
  <conditionalFormatting sqref="O17:O19 O15">
    <cfRule type="colorScale" priority="4239">
      <colorScale>
        <cfvo type="min"/>
        <cfvo type="max"/>
        <color rgb="FFFF0000"/>
        <color rgb="FF00B050"/>
      </colorScale>
    </cfRule>
  </conditionalFormatting>
  <conditionalFormatting sqref="O22:O27 O173 O30:O34 O16">
    <cfRule type="colorScale" priority="11435">
      <colorScale>
        <cfvo type="min"/>
        <cfvo type="max"/>
        <color rgb="FFFF0000"/>
        <color rgb="FF00B050"/>
      </colorScale>
    </cfRule>
  </conditionalFormatting>
  <conditionalFormatting sqref="O37:O136 O28:O29">
    <cfRule type="colorScale" priority="510">
      <colorScale>
        <cfvo type="min"/>
        <cfvo type="max"/>
        <color rgb="FFFF0000"/>
        <color rgb="FF00B050"/>
      </colorScale>
    </cfRule>
  </conditionalFormatting>
  <conditionalFormatting sqref="O139:O172 O174:O239">
    <cfRule type="colorScale" priority="511">
      <colorScale>
        <cfvo type="min"/>
        <cfvo type="max"/>
        <color rgb="FFFF0000"/>
        <color rgb="FF00B050"/>
      </colorScale>
    </cfRule>
  </conditionalFormatting>
  <conditionalFormatting sqref="O242:O347">
    <cfRule type="colorScale" priority="11472">
      <colorScale>
        <cfvo type="min"/>
        <cfvo type="max"/>
        <color rgb="FFFF0000"/>
        <color rgb="FF00B050"/>
      </colorScale>
    </cfRule>
  </conditionalFormatting>
  <conditionalFormatting sqref="Q13">
    <cfRule type="colorScale" priority="369">
      <colorScale>
        <cfvo type="min"/>
        <cfvo type="max"/>
        <color rgb="FFFF0000"/>
        <color rgb="FF00B050"/>
      </colorScale>
    </cfRule>
  </conditionalFormatting>
  <conditionalFormatting sqref="Q36:Q136 Q5:Q12 Q14:Q19 Q21:Q34 Q138:Q239 Q241:Q347">
    <cfRule type="colorScale" priority="11474">
      <colorScale>
        <cfvo type="min"/>
        <cfvo type="max"/>
        <color rgb="FFFF0000"/>
        <color rgb="FF00B050"/>
      </colorScale>
    </cfRule>
  </conditionalFormatting>
  <conditionalFormatting sqref="R11:U11 AU344 AR11:AU11 AR32:AU32 AR177:AU177">
    <cfRule type="cellIs" dxfId="73" priority="301" stopIfTrue="1" operator="equal">
      <formula>"AB"</formula>
    </cfRule>
  </conditionalFormatting>
  <conditionalFormatting sqref="U15">
    <cfRule type="cellIs" dxfId="72" priority="300" stopIfTrue="1" operator="equal">
      <formula>"AB"</formula>
    </cfRule>
  </conditionalFormatting>
  <conditionalFormatting sqref="U242:U300">
    <cfRule type="cellIs" dxfId="71" priority="308" stopIfTrue="1" operator="equal">
      <formula>"AB"</formula>
    </cfRule>
  </conditionalFormatting>
  <conditionalFormatting sqref="V5:V12">
    <cfRule type="colorScale" priority="1995">
      <colorScale>
        <cfvo type="min"/>
        <cfvo type="max"/>
        <color rgb="FFFF0000"/>
        <color rgb="FF00B050"/>
      </colorScale>
    </cfRule>
  </conditionalFormatting>
  <conditionalFormatting sqref="V15:V19">
    <cfRule type="colorScale" priority="4241">
      <colorScale>
        <cfvo type="min"/>
        <cfvo type="max"/>
        <color rgb="FFFF0000"/>
        <color rgb="FF00B050"/>
      </colorScale>
    </cfRule>
  </conditionalFormatting>
  <conditionalFormatting sqref="V22:V34">
    <cfRule type="colorScale" priority="11437">
      <colorScale>
        <cfvo type="min"/>
        <cfvo type="max"/>
        <color rgb="FFFF0000"/>
        <color rgb="FF00B050"/>
      </colorScale>
    </cfRule>
  </conditionalFormatting>
  <conditionalFormatting sqref="V37:V136">
    <cfRule type="colorScale" priority="503">
      <colorScale>
        <cfvo type="min"/>
        <cfvo type="max"/>
        <color rgb="FFFF0000"/>
        <color rgb="FF00B050"/>
      </colorScale>
    </cfRule>
  </conditionalFormatting>
  <conditionalFormatting sqref="V139:V239">
    <cfRule type="colorScale" priority="502">
      <colorScale>
        <cfvo type="min"/>
        <cfvo type="max"/>
        <color rgb="FFFF0000"/>
        <color rgb="FF00B050"/>
      </colorScale>
    </cfRule>
  </conditionalFormatting>
  <conditionalFormatting sqref="V242:V347">
    <cfRule type="colorScale" priority="11483">
      <colorScale>
        <cfvo type="min"/>
        <cfvo type="max"/>
        <color rgb="FFFF0000"/>
        <color rgb="FF00B050"/>
      </colorScale>
    </cfRule>
  </conditionalFormatting>
  <conditionalFormatting sqref="W5:Y12 X14:Y19 X36:Y136 X21:Y34 X138:Y239 X241:Y351 W6:W348">
    <cfRule type="colorScale" priority="11485">
      <colorScale>
        <cfvo type="min"/>
        <cfvo type="max"/>
        <color rgb="FFFF0000"/>
        <color rgb="FF00B050"/>
      </colorScale>
    </cfRule>
  </conditionalFormatting>
  <conditionalFormatting sqref="Z5:Z15">
    <cfRule type="colorScale" priority="1997">
      <colorScale>
        <cfvo type="min"/>
        <cfvo type="max"/>
        <color rgb="FFFFFF00"/>
        <color rgb="FF00B050"/>
      </colorScale>
    </cfRule>
  </conditionalFormatting>
  <conditionalFormatting sqref="Z17:Z19">
    <cfRule type="colorScale" priority="4243">
      <colorScale>
        <cfvo type="min"/>
        <cfvo type="max"/>
        <color rgb="FFFFFF00"/>
        <color rgb="FF00B050"/>
      </colorScale>
    </cfRule>
  </conditionalFormatting>
  <conditionalFormatting sqref="Z22:Z27 Z173 Z30:Z34 Z16">
    <cfRule type="colorScale" priority="11439">
      <colorScale>
        <cfvo type="min"/>
        <cfvo type="max"/>
        <color rgb="FFFFFF00"/>
        <color rgb="FF00B050"/>
      </colorScale>
    </cfRule>
  </conditionalFormatting>
  <conditionalFormatting sqref="Z37:Z136 Z28:Z29">
    <cfRule type="colorScale" priority="498">
      <colorScale>
        <cfvo type="min"/>
        <cfvo type="max"/>
        <color rgb="FFFFFF00"/>
        <color rgb="FF00B050"/>
      </colorScale>
    </cfRule>
  </conditionalFormatting>
  <conditionalFormatting sqref="Z139:Z172 Z174:Z239">
    <cfRule type="colorScale" priority="499">
      <colorScale>
        <cfvo type="min"/>
        <cfvo type="max"/>
        <color rgb="FFFFFF00"/>
        <color rgb="FF00B050"/>
      </colorScale>
    </cfRule>
  </conditionalFormatting>
  <conditionalFormatting sqref="Z242:Z348">
    <cfRule type="colorScale" priority="11494">
      <colorScale>
        <cfvo type="min"/>
        <cfvo type="max"/>
        <color rgb="FFFFFF00"/>
        <color rgb="FF00B050"/>
      </colorScale>
    </cfRule>
  </conditionalFormatting>
  <conditionalFormatting sqref="AA15:AA19 BA15:BA19 BZ15:BZ19 CZ15:CZ19 AA22:AA34 BA22:BA34 BZ22:BZ34 CZ22:CZ34 AA173 BA173 BZ173 CZ173">
    <cfRule type="cellIs" dxfId="70" priority="88" operator="greaterThanOrEqual">
      <formula>90</formula>
    </cfRule>
  </conditionalFormatting>
  <conditionalFormatting sqref="AA15:AA19">
    <cfRule type="cellIs" dxfId="69" priority="95" operator="lessThanOrEqual">
      <formula>74</formula>
    </cfRule>
  </conditionalFormatting>
  <conditionalFormatting sqref="AA16 BA16 BZ16 CZ16 AA22:AA34 BA22:BA34 BZ22:BZ34 CZ22:CZ34 AA173 BA173 BZ173 CZ173">
    <cfRule type="cellIs" dxfId="68" priority="87" operator="lessThanOrEqual">
      <formula>60</formula>
    </cfRule>
  </conditionalFormatting>
  <conditionalFormatting sqref="AA5:AB12 BA5:BA12 BZ5:CA12 CZ5:DA12">
    <cfRule type="cellIs" dxfId="67" priority="208" operator="greaterThan">
      <formula>95</formula>
    </cfRule>
  </conditionalFormatting>
  <conditionalFormatting sqref="AA15:AB19 BZ15:CA19 CZ15:DA19">
    <cfRule type="cellIs" dxfId="66" priority="139" operator="greaterThan">
      <formula>90</formula>
    </cfRule>
  </conditionalFormatting>
  <conditionalFormatting sqref="AA16:AB16 BZ16:CA16 DA16 AA22:AB34 BZ22:CA34 DA22:DA34 AA173:AB173 BZ173:CA173 DA173">
    <cfRule type="cellIs" dxfId="65" priority="199" operator="greaterThan">
      <formula>89.5</formula>
    </cfRule>
  </conditionalFormatting>
  <conditionalFormatting sqref="AA28:AB29 BA28:BA29 BZ28:CA29 CZ28:DA29 AA37:AB136 BA37:BA136 BZ37:CA136 CZ37:DA136">
    <cfRule type="cellIs" dxfId="64" priority="155" operator="greaterThan">
      <formula>75</formula>
    </cfRule>
    <cfRule type="cellIs" dxfId="63" priority="200" operator="greaterThan">
      <formula>74.5</formula>
    </cfRule>
  </conditionalFormatting>
  <conditionalFormatting sqref="AA139:AB239">
    <cfRule type="cellIs" dxfId="62" priority="147" operator="greaterThan">
      <formula>60</formula>
    </cfRule>
  </conditionalFormatting>
  <conditionalFormatting sqref="AA242:AB347">
    <cfRule type="cellIs" dxfId="61" priority="143" operator="greaterThan">
      <formula>25</formula>
    </cfRule>
    <cfRule type="cellIs" dxfId="60" priority="201" operator="greaterThan">
      <formula>24.5</formula>
    </cfRule>
    <cfRule type="cellIs" dxfId="59" priority="204" operator="greaterThan">
      <formula>24</formula>
    </cfRule>
  </conditionalFormatting>
  <conditionalFormatting sqref="AC11:AF11">
    <cfRule type="cellIs" dxfId="58" priority="73" stopIfTrue="1" operator="equal">
      <formula>"AB"</formula>
    </cfRule>
  </conditionalFormatting>
  <conditionalFormatting sqref="AC32:AF32">
    <cfRule type="cellIs" dxfId="57" priority="71" stopIfTrue="1" operator="equal">
      <formula>"AB"</formula>
    </cfRule>
  </conditionalFormatting>
  <conditionalFormatting sqref="AC48:AF48">
    <cfRule type="cellIs" dxfId="56" priority="69" stopIfTrue="1" operator="equal">
      <formula>"AB"</formula>
    </cfRule>
  </conditionalFormatting>
  <conditionalFormatting sqref="AC56:AF56">
    <cfRule type="cellIs" dxfId="55" priority="68" stopIfTrue="1" operator="equal">
      <formula>"AB"</formula>
    </cfRule>
  </conditionalFormatting>
  <conditionalFormatting sqref="AC64:AF64">
    <cfRule type="cellIs" dxfId="54" priority="67" stopIfTrue="1" operator="equal">
      <formula>"AB"</formula>
    </cfRule>
  </conditionalFormatting>
  <conditionalFormatting sqref="AC72:AF72">
    <cfRule type="cellIs" dxfId="53" priority="66" stopIfTrue="1" operator="equal">
      <formula>"AB"</formula>
    </cfRule>
  </conditionalFormatting>
  <conditionalFormatting sqref="AC80:AF80">
    <cfRule type="cellIs" dxfId="52" priority="65" stopIfTrue="1" operator="equal">
      <formula>"AB"</formula>
    </cfRule>
  </conditionalFormatting>
  <conditionalFormatting sqref="AC88:AF88">
    <cfRule type="cellIs" dxfId="51" priority="64" stopIfTrue="1" operator="equal">
      <formula>"AB"</formula>
    </cfRule>
  </conditionalFormatting>
  <conditionalFormatting sqref="AC96:AF96">
    <cfRule type="cellIs" dxfId="50" priority="63" stopIfTrue="1" operator="equal">
      <formula>"AB"</formula>
    </cfRule>
  </conditionalFormatting>
  <conditionalFormatting sqref="AC104:AF104">
    <cfRule type="cellIs" dxfId="49" priority="62" stopIfTrue="1" operator="equal">
      <formula>"AB"</formula>
    </cfRule>
  </conditionalFormatting>
  <conditionalFormatting sqref="AC112:AF112">
    <cfRule type="cellIs" dxfId="48" priority="61" stopIfTrue="1" operator="equal">
      <formula>"AB"</formula>
    </cfRule>
  </conditionalFormatting>
  <conditionalFormatting sqref="AC177:AF177">
    <cfRule type="cellIs" dxfId="47" priority="56" stopIfTrue="1" operator="equal">
      <formula>"AB"</formula>
    </cfRule>
  </conditionalFormatting>
  <conditionalFormatting sqref="AC185:AF185">
    <cfRule type="cellIs" dxfId="46" priority="55" stopIfTrue="1" operator="equal">
      <formula>"AB"</formula>
    </cfRule>
  </conditionalFormatting>
  <conditionalFormatting sqref="AC193:AF193">
    <cfRule type="cellIs" dxfId="45" priority="54" stopIfTrue="1" operator="equal">
      <formula>"AB"</formula>
    </cfRule>
  </conditionalFormatting>
  <conditionalFormatting sqref="AC201:AF201">
    <cfRule type="cellIs" dxfId="44" priority="53" stopIfTrue="1" operator="equal">
      <formula>"AB"</formula>
    </cfRule>
  </conditionalFormatting>
  <conditionalFormatting sqref="AC209:AF209">
    <cfRule type="cellIs" dxfId="43" priority="52" stopIfTrue="1" operator="equal">
      <formula>"AB"</formula>
    </cfRule>
  </conditionalFormatting>
  <conditionalFormatting sqref="AC217:AF217">
    <cfRule type="cellIs" dxfId="42" priority="51" stopIfTrue="1" operator="equal">
      <formula>"AB"</formula>
    </cfRule>
  </conditionalFormatting>
  <conditionalFormatting sqref="AC225:AF225">
    <cfRule type="cellIs" dxfId="41" priority="50" stopIfTrue="1" operator="equal">
      <formula>"AB"</formula>
    </cfRule>
  </conditionalFormatting>
  <conditionalFormatting sqref="AC233:AF233">
    <cfRule type="cellIs" dxfId="40" priority="49" stopIfTrue="1" operator="equal">
      <formula>"AB"</formula>
    </cfRule>
  </conditionalFormatting>
  <conditionalFormatting sqref="AC328:AF328">
    <cfRule type="cellIs" dxfId="39" priority="13" stopIfTrue="1" operator="equal">
      <formula>"AB"</formula>
    </cfRule>
  </conditionalFormatting>
  <conditionalFormatting sqref="AC336:AF336">
    <cfRule type="cellIs" dxfId="38" priority="12" stopIfTrue="1" operator="equal">
      <formula>"AB"</formula>
    </cfRule>
  </conditionalFormatting>
  <conditionalFormatting sqref="AC344:AF344">
    <cfRule type="cellIs" dxfId="37" priority="11" stopIfTrue="1" operator="equal">
      <formula>"AB"</formula>
    </cfRule>
  </conditionalFormatting>
  <conditionalFormatting sqref="AG5:AG12">
    <cfRule type="colorScale" priority="1999">
      <colorScale>
        <cfvo type="min"/>
        <cfvo type="max"/>
        <color rgb="FFFF0000"/>
        <color rgb="FF00B050"/>
      </colorScale>
    </cfRule>
  </conditionalFormatting>
  <conditionalFormatting sqref="AG17:AG19 AG15">
    <cfRule type="colorScale" priority="4245">
      <colorScale>
        <cfvo type="min"/>
        <cfvo type="max"/>
        <color rgb="FFFF0000"/>
        <color rgb="FF00B050"/>
      </colorScale>
    </cfRule>
  </conditionalFormatting>
  <conditionalFormatting sqref="AG22:AG27 AG173 AG30:AG34 AG16">
    <cfRule type="colorScale" priority="11441">
      <colorScale>
        <cfvo type="min"/>
        <cfvo type="max"/>
        <color rgb="FFFF0000"/>
        <color rgb="FF00B050"/>
      </colorScale>
    </cfRule>
  </conditionalFormatting>
  <conditionalFormatting sqref="AG37:AG136 AG28:AG29">
    <cfRule type="colorScale" priority="261">
      <colorScale>
        <cfvo type="min"/>
        <cfvo type="max"/>
        <color rgb="FFFF0000"/>
        <color rgb="FF00B050"/>
      </colorScale>
    </cfRule>
  </conditionalFormatting>
  <conditionalFormatting sqref="AG139:AG172 AG174:AG239">
    <cfRule type="colorScale" priority="260">
      <colorScale>
        <cfvo type="min"/>
        <cfvo type="max"/>
        <color rgb="FFFF0000"/>
        <color rgb="FF00B050"/>
      </colorScale>
    </cfRule>
  </conditionalFormatting>
  <conditionalFormatting sqref="AG242:AG347">
    <cfRule type="colorScale" priority="11504">
      <colorScale>
        <cfvo type="min"/>
        <cfvo type="max"/>
        <color rgb="FFFF0000"/>
        <color rgb="FF00B050"/>
      </colorScale>
    </cfRule>
  </conditionalFormatting>
  <conditionalFormatting sqref="AH5:AI12 AH35 AI14 AH20 AH15:AI19 AH36:AI136 AH21:AI34 AH137 AH138:AI239 AH240 AH241:AI351">
    <cfRule type="colorScale" priority="11506">
      <colorScale>
        <cfvo type="min"/>
        <cfvo type="max"/>
        <color rgb="FFFF0000"/>
        <color rgb="FF00B050"/>
      </colorScale>
    </cfRule>
  </conditionalFormatting>
  <conditionalFormatting sqref="AJ336:AL336">
    <cfRule type="cellIs" dxfId="36" priority="15" stopIfTrue="1" operator="equal">
      <formula>"AB"</formula>
    </cfRule>
  </conditionalFormatting>
  <conditionalFormatting sqref="AJ193:AM193">
    <cfRule type="cellIs" dxfId="35" priority="8" stopIfTrue="1" operator="equal">
      <formula>"AB"</formula>
    </cfRule>
  </conditionalFormatting>
  <conditionalFormatting sqref="AJ201:AM201">
    <cfRule type="cellIs" dxfId="34" priority="7" stopIfTrue="1" operator="equal">
      <formula>"AB"</formula>
    </cfRule>
  </conditionalFormatting>
  <conditionalFormatting sqref="AJ209:AM209">
    <cfRule type="cellIs" dxfId="33" priority="6" stopIfTrue="1" operator="equal">
      <formula>"AB"</formula>
    </cfRule>
  </conditionalFormatting>
  <conditionalFormatting sqref="AJ217:AM217">
    <cfRule type="cellIs" dxfId="32" priority="5" stopIfTrue="1" operator="equal">
      <formula>"AB"</formula>
    </cfRule>
  </conditionalFormatting>
  <conditionalFormatting sqref="AJ11:AN11">
    <cfRule type="cellIs" dxfId="31" priority="35" stopIfTrue="1" operator="equal">
      <formula>"AB"</formula>
    </cfRule>
  </conditionalFormatting>
  <conditionalFormatting sqref="AJ32:AN32">
    <cfRule type="cellIs" dxfId="30" priority="33" stopIfTrue="1" operator="equal">
      <formula>"AB"</formula>
    </cfRule>
  </conditionalFormatting>
  <conditionalFormatting sqref="AJ48:AN48">
    <cfRule type="cellIs" dxfId="29" priority="31" stopIfTrue="1" operator="equal">
      <formula>"AB"</formula>
    </cfRule>
  </conditionalFormatting>
  <conditionalFormatting sqref="AJ56:AN56">
    <cfRule type="cellIs" dxfId="28" priority="30" stopIfTrue="1" operator="equal">
      <formula>"AB"</formula>
    </cfRule>
  </conditionalFormatting>
  <conditionalFormatting sqref="AJ64:AN64">
    <cfRule type="cellIs" dxfId="27" priority="29" stopIfTrue="1" operator="equal">
      <formula>"AB"</formula>
    </cfRule>
  </conditionalFormatting>
  <conditionalFormatting sqref="AJ72:AN72">
    <cfRule type="cellIs" dxfId="26" priority="28" stopIfTrue="1" operator="equal">
      <formula>"AB"</formula>
    </cfRule>
  </conditionalFormatting>
  <conditionalFormatting sqref="AJ80:AN80">
    <cfRule type="cellIs" dxfId="25" priority="27" stopIfTrue="1" operator="equal">
      <formula>"AB"</formula>
    </cfRule>
  </conditionalFormatting>
  <conditionalFormatting sqref="AJ177:AN177">
    <cfRule type="cellIs" dxfId="24" priority="10" stopIfTrue="1" operator="equal">
      <formula>"AB"</formula>
    </cfRule>
  </conditionalFormatting>
  <conditionalFormatting sqref="AJ185:AN185">
    <cfRule type="cellIs" dxfId="23" priority="9" stopIfTrue="1" operator="equal">
      <formula>"AB"</formula>
    </cfRule>
  </conditionalFormatting>
  <conditionalFormatting sqref="AJ344:AN344">
    <cfRule type="cellIs" dxfId="22" priority="14" stopIfTrue="1" operator="equal">
      <formula>"AB"</formula>
    </cfRule>
  </conditionalFormatting>
  <conditionalFormatting sqref="AN190:AN195">
    <cfRule type="cellIs" dxfId="21" priority="272" stopIfTrue="1" operator="equal">
      <formula>"AB"</formula>
    </cfRule>
  </conditionalFormatting>
  <conditionalFormatting sqref="AO5:AO12">
    <cfRule type="colorScale" priority="2001">
      <colorScale>
        <cfvo type="min"/>
        <cfvo type="max"/>
        <color rgb="FFFF0000"/>
        <color rgb="FF00B050"/>
      </colorScale>
    </cfRule>
  </conditionalFormatting>
  <conditionalFormatting sqref="AO17:AO19 AO15">
    <cfRule type="colorScale" priority="4247">
      <colorScale>
        <cfvo type="min"/>
        <cfvo type="max"/>
        <color rgb="FFFF0000"/>
        <color rgb="FF00B050"/>
      </colorScale>
    </cfRule>
  </conditionalFormatting>
  <conditionalFormatting sqref="AO22:AO27 AO173 AO30:AO34 AO16">
    <cfRule type="colorScale" priority="11443">
      <colorScale>
        <cfvo type="min"/>
        <cfvo type="max"/>
        <color rgb="FFFF0000"/>
        <color rgb="FF00B050"/>
      </colorScale>
    </cfRule>
  </conditionalFormatting>
  <conditionalFormatting sqref="AO37:AO136 AO28:AO29">
    <cfRule type="colorScale" priority="255">
      <colorScale>
        <cfvo type="min"/>
        <cfvo type="max"/>
        <color rgb="FFFF0000"/>
        <color rgb="FF00B050"/>
      </colorScale>
    </cfRule>
  </conditionalFormatting>
  <conditionalFormatting sqref="AO139:AO172 AO174:AO239">
    <cfRule type="colorScale" priority="254">
      <colorScale>
        <cfvo type="min"/>
        <cfvo type="max"/>
        <color rgb="FFFF0000"/>
        <color rgb="FF00B050"/>
      </colorScale>
    </cfRule>
  </conditionalFormatting>
  <conditionalFormatting sqref="AO242:AO347">
    <cfRule type="colorScale" priority="11520">
      <colorScale>
        <cfvo type="min"/>
        <cfvo type="max"/>
        <color rgb="FFFF0000"/>
        <color rgb="FF00B050"/>
      </colorScale>
    </cfRule>
  </conditionalFormatting>
  <conditionalFormatting sqref="AP5:AQ12 AP35 AP13 AP20 AP14:AQ19 AP36:AQ136 AP21:AQ34 AP137 AP138:AQ239 AP240 AP241:AQ351">
    <cfRule type="colorScale" priority="11522">
      <colorScale>
        <cfvo type="min"/>
        <cfvo type="max"/>
        <color rgb="FFFF0000"/>
        <color rgb="FF00B050"/>
      </colorScale>
    </cfRule>
  </conditionalFormatting>
  <conditionalFormatting sqref="AR344">
    <cfRule type="cellIs" dxfId="20" priority="1" stopIfTrue="1" operator="equal">
      <formula>"AB"</formula>
    </cfRule>
  </conditionalFormatting>
  <conditionalFormatting sqref="AR185:AT195">
    <cfRule type="cellIs" dxfId="19" priority="266" stopIfTrue="1" operator="equal">
      <formula>"AB"</formula>
    </cfRule>
  </conditionalFormatting>
  <conditionalFormatting sqref="AV5:AV12">
    <cfRule type="colorScale" priority="2003">
      <colorScale>
        <cfvo type="min"/>
        <cfvo type="max"/>
        <color rgb="FFFF0000"/>
        <color rgb="FF00B050"/>
      </colorScale>
    </cfRule>
  </conditionalFormatting>
  <conditionalFormatting sqref="AV17:AV19 AV15">
    <cfRule type="colorScale" priority="4249">
      <colorScale>
        <cfvo type="min"/>
        <cfvo type="max"/>
        <color rgb="FFFF0000"/>
        <color rgb="FF00B050"/>
      </colorScale>
    </cfRule>
  </conditionalFormatting>
  <conditionalFormatting sqref="AV22:AV27 AV173 AV30:AV34 AV16">
    <cfRule type="colorScale" priority="11445">
      <colorScale>
        <cfvo type="min"/>
        <cfvo type="max"/>
        <color rgb="FFFF0000"/>
        <color rgb="FF00B050"/>
      </colorScale>
    </cfRule>
  </conditionalFormatting>
  <conditionalFormatting sqref="AV37:AV136 AV28:AV29">
    <cfRule type="colorScale" priority="249">
      <colorScale>
        <cfvo type="min"/>
        <cfvo type="max"/>
        <color rgb="FFFF0000"/>
        <color rgb="FF00B050"/>
      </colorScale>
    </cfRule>
  </conditionalFormatting>
  <conditionalFormatting sqref="AV139:AV172 AV174:AV239">
    <cfRule type="colorScale" priority="248">
      <colorScale>
        <cfvo type="min"/>
        <cfvo type="max"/>
        <color rgb="FFFF0000"/>
        <color rgb="FF00B050"/>
      </colorScale>
    </cfRule>
  </conditionalFormatting>
  <conditionalFormatting sqref="AV242:AV347">
    <cfRule type="colorScale" priority="11536">
      <colorScale>
        <cfvo type="min"/>
        <cfvo type="max"/>
        <color rgb="FFFF0000"/>
        <color rgb="FF00B050"/>
      </colorScale>
    </cfRule>
  </conditionalFormatting>
  <conditionalFormatting sqref="AW35:AW36 AW5:AX12 AW20 AW37:AX136 AW138:AX239 AW6:AW13 AW14:AX19 AW21:AX34 AW38:AW137 AW140:AW240 AW241:AX351">
    <cfRule type="colorScale" priority="11538">
      <colorScale>
        <cfvo type="min"/>
        <cfvo type="max"/>
        <color rgb="FFFF0000"/>
        <color rgb="FF00B050"/>
      </colorScale>
    </cfRule>
  </conditionalFormatting>
  <conditionalFormatting sqref="AY36:AY136 AY5:AY12 AY14:AY19 AY21:AY34 AY138:AY239 AY241:AY351">
    <cfRule type="colorScale" priority="11550">
      <colorScale>
        <cfvo type="min"/>
        <cfvo type="max"/>
        <color rgb="FFFF0000"/>
        <color rgb="FF00B050"/>
      </colorScale>
    </cfRule>
  </conditionalFormatting>
  <conditionalFormatting sqref="AZ5:AZ12 AZ14">
    <cfRule type="colorScale" priority="415">
      <colorScale>
        <cfvo type="min"/>
        <cfvo type="max"/>
        <color rgb="FFFFFF00"/>
        <color rgb="FF00B050"/>
      </colorScale>
    </cfRule>
  </conditionalFormatting>
  <conditionalFormatting sqref="AZ17:AZ19 AZ15">
    <cfRule type="colorScale" priority="4251">
      <colorScale>
        <cfvo type="min"/>
        <cfvo type="max"/>
        <color rgb="FFFFFF00"/>
        <color rgb="FF00B050"/>
      </colorScale>
    </cfRule>
  </conditionalFormatting>
  <conditionalFormatting sqref="AZ22:AZ27 AZ173 AZ30:AZ34 AZ16">
    <cfRule type="colorScale" priority="11447">
      <colorScale>
        <cfvo type="min"/>
        <cfvo type="max"/>
        <color rgb="FFFFFF00"/>
        <color rgb="FF00B050"/>
      </colorScale>
    </cfRule>
  </conditionalFormatting>
  <conditionalFormatting sqref="AZ37:AZ136 AZ28:AZ29">
    <cfRule type="colorScale" priority="418">
      <colorScale>
        <cfvo type="min"/>
        <cfvo type="max"/>
        <color rgb="FFFFFF00"/>
        <color rgb="FF00B050"/>
      </colorScale>
    </cfRule>
  </conditionalFormatting>
  <conditionalFormatting sqref="AZ139:AZ172 AZ174:AZ239">
    <cfRule type="colorScale" priority="419">
      <colorScale>
        <cfvo type="min"/>
        <cfvo type="max"/>
        <color rgb="FFFFFF00"/>
        <color rgb="FF00B050"/>
      </colorScale>
    </cfRule>
  </conditionalFormatting>
  <conditionalFormatting sqref="AZ242:AZ348">
    <cfRule type="colorScale" priority="11557">
      <colorScale>
        <cfvo type="min"/>
        <cfvo type="max"/>
        <color rgb="FFFFFF00"/>
        <color rgb="FF00B050"/>
      </colorScale>
    </cfRule>
  </conditionalFormatting>
  <conditionalFormatting sqref="BA13 BZ13 BZ15 AA16:AB16 BZ16:CA16 DA16 BZ17:BZ25 BA20:BA21 CA20:CA25 DA20:DA41 AA20:AB138 BZ26:CA138 CZ28 BA28:BA29 CZ29:DA29 CZ35:CZ41 BA35:BA138 CZ42:DA138 AA173:AB173 BZ173:CA173 DA173 BA240:BA241 BZ240:BZ241 CZ240:CZ241 BA348:BA351 BZ348:BZ351 CZ348:CZ351 AA240:AB348 CZ13:CZ21 AA13:AB14 CA13:CA14 CA240:CA348 DA240:DA348">
    <cfRule type="cellIs" dxfId="18" priority="478" operator="greaterThan">
      <formula>95</formula>
    </cfRule>
  </conditionalFormatting>
  <conditionalFormatting sqref="BA13 BZ13 BZ15 AA16:AB16 BZ16:CA16 DA16 BZ17:BZ25 BA20:BA21 CA20:CA25 DA20:DA41 AA20:AB138 BZ26:CA138 CZ28 BA28:BA29 CZ29:DA29 CZ35:CZ41 BA35:BA138 CZ42:DA138 AA173:AB173 BZ173:CA173 DA173 BA240:BA241 BZ240:BZ241 CZ240:CZ241 BA348:BA351 BZ348:BZ351 CZ348:CZ351">
    <cfRule type="cellIs" dxfId="17" priority="477" operator="greaterThan">
      <formula>95</formula>
    </cfRule>
  </conditionalFormatting>
  <conditionalFormatting sqref="BA15:BA19">
    <cfRule type="cellIs" dxfId="16" priority="93" operator="lessThanOrEqual">
      <formula>74</formula>
    </cfRule>
    <cfRule type="cellIs" dxfId="15" priority="138" operator="greaterThan">
      <formula>90</formula>
    </cfRule>
  </conditionalFormatting>
  <conditionalFormatting sqref="BA139:BA239">
    <cfRule type="cellIs" dxfId="14" priority="146" operator="greaterThan">
      <formula>60</formula>
    </cfRule>
  </conditionalFormatting>
  <conditionalFormatting sqref="BA242:BA347 BZ242:CA347 CZ242:DA347">
    <cfRule type="cellIs" dxfId="13" priority="142" operator="greaterThan">
      <formula>25</formula>
    </cfRule>
  </conditionalFormatting>
  <conditionalFormatting sqref="BF5:BF12">
    <cfRule type="colorScale" priority="2005">
      <colorScale>
        <cfvo type="min"/>
        <cfvo type="max"/>
        <color rgb="FFFF0000"/>
        <color rgb="FF00B050"/>
      </colorScale>
    </cfRule>
  </conditionalFormatting>
  <conditionalFormatting sqref="BF17:BF19 BF15">
    <cfRule type="colorScale" priority="4253">
      <colorScale>
        <cfvo type="min"/>
        <cfvo type="max"/>
        <color rgb="FFFF0000"/>
        <color rgb="FF00B050"/>
      </colorScale>
    </cfRule>
  </conditionalFormatting>
  <conditionalFormatting sqref="BF22:BF27 BF173 BF30:BF34 BF16">
    <cfRule type="colorScale" priority="11449">
      <colorScale>
        <cfvo type="min"/>
        <cfvo type="max"/>
        <color rgb="FFFF0000"/>
        <color rgb="FF00B050"/>
      </colorScale>
    </cfRule>
  </conditionalFormatting>
  <conditionalFormatting sqref="BF37:BF136 BF28:BF29">
    <cfRule type="colorScale" priority="242">
      <colorScale>
        <cfvo type="min"/>
        <cfvo type="max"/>
        <color rgb="FFFF0000"/>
        <color rgb="FF00B050"/>
      </colorScale>
    </cfRule>
  </conditionalFormatting>
  <conditionalFormatting sqref="BF139:BF172 BF174:BF239">
    <cfRule type="colorScale" priority="241">
      <colorScale>
        <cfvo type="min"/>
        <cfvo type="max"/>
        <color rgb="FFFF0000"/>
        <color rgb="FF00B050"/>
      </colorScale>
    </cfRule>
  </conditionalFormatting>
  <conditionalFormatting sqref="BF242:BF347">
    <cfRule type="colorScale" priority="11569">
      <colorScale>
        <cfvo type="min"/>
        <cfvo type="max"/>
        <color rgb="FFFF0000"/>
        <color rgb="FF00B050"/>
      </colorScale>
    </cfRule>
  </conditionalFormatting>
  <conditionalFormatting sqref="BG5:BH12 BG35 BG13 BG20 BG14:BH19 BG36:BH136 BG21:BH34 BG137 BG138:BH239 BG240 BG241:BH351">
    <cfRule type="colorScale" priority="11571">
      <colorScale>
        <cfvo type="min"/>
        <cfvo type="max"/>
        <color rgb="FFFF0000"/>
        <color rgb="FF00B050"/>
      </colorScale>
    </cfRule>
  </conditionalFormatting>
  <conditionalFormatting sqref="BN5:BN12">
    <cfRule type="colorScale" priority="2007">
      <colorScale>
        <cfvo type="min"/>
        <cfvo type="max"/>
        <color rgb="FFFF0000"/>
        <color rgb="FF00B050"/>
      </colorScale>
    </cfRule>
  </conditionalFormatting>
  <conditionalFormatting sqref="BN17:BN19 BN15">
    <cfRule type="colorScale" priority="4255">
      <colorScale>
        <cfvo type="min"/>
        <cfvo type="max"/>
        <color rgb="FFFF0000"/>
        <color rgb="FF00B050"/>
      </colorScale>
    </cfRule>
  </conditionalFormatting>
  <conditionalFormatting sqref="BN22:BN27 BN173 BN30:BN34 BN16">
    <cfRule type="colorScale" priority="11451">
      <colorScale>
        <cfvo type="min"/>
        <cfvo type="max"/>
        <color rgb="FFFF0000"/>
        <color rgb="FF00B050"/>
      </colorScale>
    </cfRule>
  </conditionalFormatting>
  <conditionalFormatting sqref="BN37:BN136 BN28:BN29">
    <cfRule type="colorScale" priority="236">
      <colorScale>
        <cfvo type="min"/>
        <cfvo type="max"/>
        <color rgb="FFFF0000"/>
        <color rgb="FF00B050"/>
      </colorScale>
    </cfRule>
  </conditionalFormatting>
  <conditionalFormatting sqref="BN139:BN172 BN174:BN239">
    <cfRule type="colorScale" priority="235">
      <colorScale>
        <cfvo type="min"/>
        <cfvo type="max"/>
        <color rgb="FFFF0000"/>
        <color rgb="FF00B050"/>
      </colorScale>
    </cfRule>
  </conditionalFormatting>
  <conditionalFormatting sqref="BN242:BN347">
    <cfRule type="colorScale" priority="11583">
      <colorScale>
        <cfvo type="min"/>
        <cfvo type="max"/>
        <color rgb="FFFF0000"/>
        <color rgb="FF00B050"/>
      </colorScale>
    </cfRule>
  </conditionalFormatting>
  <conditionalFormatting sqref="BO5:BP12 BO35 BO20 BO36:BP136 BO138:BP239 BO6:BO13 BO14:BP19 BO21:BP34 BO38:BO137 BO140:BO240 BO241:BP351">
    <cfRule type="colorScale" priority="11585">
      <colorScale>
        <cfvo type="min"/>
        <cfvo type="max"/>
        <color rgb="FFFF0000"/>
        <color rgb="FF00B050"/>
      </colorScale>
    </cfRule>
  </conditionalFormatting>
  <conditionalFormatting sqref="BU5:BU12">
    <cfRule type="colorScale" priority="2009">
      <colorScale>
        <cfvo type="min"/>
        <cfvo type="max"/>
        <color rgb="FFFF0000"/>
        <color rgb="FF00B050"/>
      </colorScale>
    </cfRule>
  </conditionalFormatting>
  <conditionalFormatting sqref="BU17:BU19 BU15">
    <cfRule type="colorScale" priority="4257">
      <colorScale>
        <cfvo type="min"/>
        <cfvo type="max"/>
        <color rgb="FFFF0000"/>
        <color rgb="FF00B050"/>
      </colorScale>
    </cfRule>
  </conditionalFormatting>
  <conditionalFormatting sqref="BU22:BU27 BU173 BU30:BU34 BU16">
    <cfRule type="colorScale" priority="11453">
      <colorScale>
        <cfvo type="min"/>
        <cfvo type="max"/>
        <color rgb="FFFF0000"/>
        <color rgb="FF00B050"/>
      </colorScale>
    </cfRule>
  </conditionalFormatting>
  <conditionalFormatting sqref="BU37:BU136 BU28:BU29">
    <cfRule type="colorScale" priority="230">
      <colorScale>
        <cfvo type="min"/>
        <cfvo type="max"/>
        <color rgb="FFFF0000"/>
        <color rgb="FF00B050"/>
      </colorScale>
    </cfRule>
  </conditionalFormatting>
  <conditionalFormatting sqref="BU139:BU172 BU174:BU239">
    <cfRule type="colorScale" priority="229">
      <colorScale>
        <cfvo type="min"/>
        <cfvo type="max"/>
        <color rgb="FFFF0000"/>
        <color rgb="FF00B050"/>
      </colorScale>
    </cfRule>
  </conditionalFormatting>
  <conditionalFormatting sqref="BU242:BU347">
    <cfRule type="colorScale" priority="11597">
      <colorScale>
        <cfvo type="min"/>
        <cfvo type="max"/>
        <color rgb="FFFF0000"/>
        <color rgb="FF00B050"/>
      </colorScale>
    </cfRule>
  </conditionalFormatting>
  <conditionalFormatting sqref="BV5:BW12 BV35 BV13 BV20 BV14:BW19 BV36:BW136 BV21:BW34 BV137 BV138:BW239 BV240 BV241:BW351">
    <cfRule type="colorScale" priority="11599">
      <colorScale>
        <cfvo type="min"/>
        <cfvo type="max"/>
        <color rgb="FFFF0000"/>
        <color rgb="FF00B050"/>
      </colorScale>
    </cfRule>
  </conditionalFormatting>
  <conditionalFormatting sqref="BX36:BX136 BX5:BX12 BX14:BX19 BX21:BX34 BX138:BX239 BX241:BX351">
    <cfRule type="colorScale" priority="11611">
      <colorScale>
        <cfvo type="min"/>
        <cfvo type="max"/>
        <color rgb="FFFF0000"/>
        <color rgb="FF00B050"/>
      </colorScale>
    </cfRule>
  </conditionalFormatting>
  <conditionalFormatting sqref="BY5:BY12">
    <cfRule type="colorScale" priority="2011">
      <colorScale>
        <cfvo type="min"/>
        <cfvo type="max"/>
        <color rgb="FFFFFF00"/>
        <color rgb="FF00B050"/>
      </colorScale>
    </cfRule>
  </conditionalFormatting>
  <conditionalFormatting sqref="BY17:BY19 BY15">
    <cfRule type="colorScale" priority="4259">
      <colorScale>
        <cfvo type="min"/>
        <cfvo type="max"/>
        <color rgb="FFFFFF00"/>
        <color rgb="FF00B050"/>
      </colorScale>
    </cfRule>
  </conditionalFormatting>
  <conditionalFormatting sqref="BY22:BY27 BY173 BY30:BY34 BY16">
    <cfRule type="colorScale" priority="11455">
      <colorScale>
        <cfvo type="min"/>
        <cfvo type="max"/>
        <color rgb="FFFFFF00"/>
        <color rgb="FF00B050"/>
      </colorScale>
    </cfRule>
  </conditionalFormatting>
  <conditionalFormatting sqref="BY37:BY136 BY28:BY29">
    <cfRule type="colorScale" priority="401">
      <colorScale>
        <cfvo type="min"/>
        <cfvo type="max"/>
        <color rgb="FFFFFF00"/>
        <color rgb="FF00B050"/>
      </colorScale>
    </cfRule>
  </conditionalFormatting>
  <conditionalFormatting sqref="BY139:BY172 BY174:BY239">
    <cfRule type="colorScale" priority="402">
      <colorScale>
        <cfvo type="min"/>
        <cfvo type="max"/>
        <color rgb="FFFFFF00"/>
        <color rgb="FF00B050"/>
      </colorScale>
    </cfRule>
  </conditionalFormatting>
  <conditionalFormatting sqref="BY242:BY348">
    <cfRule type="colorScale" priority="11618">
      <colorScale>
        <cfvo type="min"/>
        <cfvo type="max"/>
        <color rgb="FFFFFF00"/>
        <color rgb="FF00B050"/>
      </colorScale>
    </cfRule>
  </conditionalFormatting>
  <conditionalFormatting sqref="BZ15:BZ19">
    <cfRule type="cellIs" dxfId="12" priority="91" operator="lessThanOrEqual">
      <formula>74</formula>
    </cfRule>
    <cfRule type="cellIs" dxfId="11" priority="191" operator="greaterThan">
      <formula>89.5</formula>
    </cfRule>
    <cfRule type="cellIs" dxfId="10" priority="192" operator="greaterThan">
      <formula>89</formula>
    </cfRule>
  </conditionalFormatting>
  <conditionalFormatting sqref="BZ139:CA239">
    <cfRule type="cellIs" dxfId="9" priority="114" operator="greaterThan">
      <formula>60</formula>
    </cfRule>
  </conditionalFormatting>
  <conditionalFormatting sqref="CA242:CA347 DA242:DA347">
    <cfRule type="cellIs" dxfId="8" priority="120" operator="greaterThan">
      <formula>24.5</formula>
    </cfRule>
    <cfRule type="cellIs" dxfId="7" priority="121" operator="greaterThan">
      <formula>24</formula>
    </cfRule>
  </conditionalFormatting>
  <conditionalFormatting sqref="CG5:CG12">
    <cfRule type="colorScale" priority="2013">
      <colorScale>
        <cfvo type="min"/>
        <cfvo type="max"/>
        <color rgb="FFFF0000"/>
        <color rgb="FF00B050"/>
      </colorScale>
    </cfRule>
  </conditionalFormatting>
  <conditionalFormatting sqref="CG17:CG19 CG15">
    <cfRule type="colorScale" priority="4261">
      <colorScale>
        <cfvo type="min"/>
        <cfvo type="max"/>
        <color rgb="FFFF0000"/>
        <color rgb="FF00B050"/>
      </colorScale>
    </cfRule>
  </conditionalFormatting>
  <conditionalFormatting sqref="CG22:CG27 CG173 CG30:CG34 CG16">
    <cfRule type="colorScale" priority="11457">
      <colorScale>
        <cfvo type="min"/>
        <cfvo type="max"/>
        <color rgb="FFFF0000"/>
        <color rgb="FF00B050"/>
      </colorScale>
    </cfRule>
  </conditionalFormatting>
  <conditionalFormatting sqref="CG37:CG136 CG28:CG29">
    <cfRule type="colorScale" priority="224">
      <colorScale>
        <cfvo type="min"/>
        <cfvo type="max"/>
        <color rgb="FFFF0000"/>
        <color rgb="FF00B050"/>
      </colorScale>
    </cfRule>
  </conditionalFormatting>
  <conditionalFormatting sqref="CG139:CG172 CG174:CG239">
    <cfRule type="colorScale" priority="223">
      <colorScale>
        <cfvo type="min"/>
        <cfvo type="max"/>
        <color rgb="FFFF0000"/>
        <color rgb="FF00B050"/>
      </colorScale>
    </cfRule>
  </conditionalFormatting>
  <conditionalFormatting sqref="CG242:CG347">
    <cfRule type="colorScale" priority="11626">
      <colorScale>
        <cfvo type="min"/>
        <cfvo type="max"/>
        <color rgb="FFFF0000"/>
        <color rgb="FF00B050"/>
      </colorScale>
    </cfRule>
  </conditionalFormatting>
  <conditionalFormatting sqref="CH5:CI12 CH35 CH13 CH20 CH14:CI19 CH36:CI136 CH21:CI34 CH137 CH138:CI239 CH240 CH241:CI351">
    <cfRule type="colorScale" priority="11628">
      <colorScale>
        <cfvo type="min"/>
        <cfvo type="max"/>
        <color rgb="FFFF0000"/>
        <color rgb="FF00B050"/>
      </colorScale>
    </cfRule>
  </conditionalFormatting>
  <conditionalFormatting sqref="CN5:CN12">
    <cfRule type="colorScale" priority="2015">
      <colorScale>
        <cfvo type="min"/>
        <cfvo type="max"/>
        <color rgb="FFFF0000"/>
        <color rgb="FF00B050"/>
      </colorScale>
    </cfRule>
  </conditionalFormatting>
  <conditionalFormatting sqref="CN17:CN19 CN15">
    <cfRule type="colorScale" priority="4263">
      <colorScale>
        <cfvo type="min"/>
        <cfvo type="max"/>
        <color rgb="FFFF0000"/>
        <color rgb="FF00B050"/>
      </colorScale>
    </cfRule>
  </conditionalFormatting>
  <conditionalFormatting sqref="CN22:CN27 CN173 CN30:CN34 CN16">
    <cfRule type="colorScale" priority="11459">
      <colorScale>
        <cfvo type="min"/>
        <cfvo type="max"/>
        <color rgb="FFFF0000"/>
        <color rgb="FF00B050"/>
      </colorScale>
    </cfRule>
  </conditionalFormatting>
  <conditionalFormatting sqref="CN37:CN136 CN28:CN29">
    <cfRule type="colorScale" priority="218">
      <colorScale>
        <cfvo type="min"/>
        <cfvo type="max"/>
        <color rgb="FFFF0000"/>
        <color rgb="FF00B050"/>
      </colorScale>
    </cfRule>
  </conditionalFormatting>
  <conditionalFormatting sqref="CN139:CN172 CN174:CN239">
    <cfRule type="colorScale" priority="217">
      <colorScale>
        <cfvo type="min"/>
        <cfvo type="max"/>
        <color rgb="FFFF0000"/>
        <color rgb="FF00B050"/>
      </colorScale>
    </cfRule>
  </conditionalFormatting>
  <conditionalFormatting sqref="CN242:CN347">
    <cfRule type="colorScale" priority="11640">
      <colorScale>
        <cfvo type="min"/>
        <cfvo type="max"/>
        <color rgb="FFFF0000"/>
        <color rgb="FF00B050"/>
      </colorScale>
    </cfRule>
  </conditionalFormatting>
  <conditionalFormatting sqref="CO5:CP12 CO35 CO13 CO20 CO14:CP19 CO36:CP136 CO21:CP34 CO137 CO138:CP239 CO240 CO241:CP351">
    <cfRule type="colorScale" priority="11642">
      <colorScale>
        <cfvo type="min"/>
        <cfvo type="max"/>
        <color rgb="FFFF0000"/>
        <color rgb="FF00B050"/>
      </colorScale>
    </cfRule>
  </conditionalFormatting>
  <conditionalFormatting sqref="CU5:CU12">
    <cfRule type="colorScale" priority="2017">
      <colorScale>
        <cfvo type="min"/>
        <cfvo type="max"/>
        <color rgb="FFFF0000"/>
        <color rgb="FF00B050"/>
      </colorScale>
    </cfRule>
  </conditionalFormatting>
  <conditionalFormatting sqref="CU17:CU19 CU15">
    <cfRule type="colorScale" priority="4265">
      <colorScale>
        <cfvo type="min"/>
        <cfvo type="max"/>
        <color rgb="FFFF0000"/>
        <color rgb="FF00B050"/>
      </colorScale>
    </cfRule>
  </conditionalFormatting>
  <conditionalFormatting sqref="CU22:CU27 CU173 CU30:CU34 CU16">
    <cfRule type="colorScale" priority="11461">
      <colorScale>
        <cfvo type="min"/>
        <cfvo type="max"/>
        <color rgb="FFFF0000"/>
        <color rgb="FF00B050"/>
      </colorScale>
    </cfRule>
  </conditionalFormatting>
  <conditionalFormatting sqref="CU37:CU136 CU28:CU29">
    <cfRule type="colorScale" priority="212">
      <colorScale>
        <cfvo type="min"/>
        <cfvo type="max"/>
        <color rgb="FFFF0000"/>
        <color rgb="FF00B050"/>
      </colorScale>
    </cfRule>
  </conditionalFormatting>
  <conditionalFormatting sqref="CU139:CU172 CU174:CU239">
    <cfRule type="colorScale" priority="211">
      <colorScale>
        <cfvo type="min"/>
        <cfvo type="max"/>
        <color rgb="FFFF0000"/>
        <color rgb="FF00B050"/>
      </colorScale>
    </cfRule>
  </conditionalFormatting>
  <conditionalFormatting sqref="CU242:CU347">
    <cfRule type="colorScale" priority="11654">
      <colorScale>
        <cfvo type="min"/>
        <cfvo type="max"/>
        <color rgb="FFFF0000"/>
        <color rgb="FF00B050"/>
      </colorScale>
    </cfRule>
  </conditionalFormatting>
  <conditionalFormatting sqref="CV5:CW12 CV35 CV13 CV20 CV14:CW19 CV36:CW136 CV21:CW34 CV137 CV138:CW239 CV240 CV241:CW351">
    <cfRule type="colorScale" priority="11656">
      <colorScale>
        <cfvo type="min"/>
        <cfvo type="max"/>
        <color rgb="FFFF0000"/>
        <color rgb="FF00B050"/>
      </colorScale>
    </cfRule>
  </conditionalFormatting>
  <conditionalFormatting sqref="CX36:CX136 CX5:CX12 CX14:CX19 CX21:CX34 CX138:CX239 CX241:CX351">
    <cfRule type="colorScale" priority="11668">
      <colorScale>
        <cfvo type="min"/>
        <cfvo type="max"/>
        <color rgb="FFFF0000"/>
        <color rgb="FF00B050"/>
      </colorScale>
    </cfRule>
  </conditionalFormatting>
  <conditionalFormatting sqref="CY5:CY12">
    <cfRule type="colorScale" priority="2019">
      <colorScale>
        <cfvo type="min"/>
        <cfvo type="max"/>
        <color rgb="FFFFFF00"/>
        <color rgb="FF00B050"/>
      </colorScale>
    </cfRule>
  </conditionalFormatting>
  <conditionalFormatting sqref="CY17:CY19 CY15">
    <cfRule type="colorScale" priority="4267">
      <colorScale>
        <cfvo type="min"/>
        <cfvo type="max"/>
        <color rgb="FFFFFF00"/>
        <color rgb="FF00B050"/>
      </colorScale>
    </cfRule>
  </conditionalFormatting>
  <conditionalFormatting sqref="CY22:CY27 CY173 CY30:CY34 CY16">
    <cfRule type="colorScale" priority="11463">
      <colorScale>
        <cfvo type="min"/>
        <cfvo type="max"/>
        <color rgb="FFFFFF00"/>
        <color rgb="FF00B050"/>
      </colorScale>
    </cfRule>
  </conditionalFormatting>
  <conditionalFormatting sqref="CY37:CY136 CY28:CY29">
    <cfRule type="colorScale" priority="384">
      <colorScale>
        <cfvo type="min"/>
        <cfvo type="max"/>
        <color rgb="FFFFFF00"/>
        <color rgb="FF00B050"/>
      </colorScale>
    </cfRule>
  </conditionalFormatting>
  <conditionalFormatting sqref="CY139:CY172 CY174:CY239">
    <cfRule type="colorScale" priority="385">
      <colorScale>
        <cfvo type="min"/>
        <cfvo type="max"/>
        <color rgb="FFFFFF00"/>
        <color rgb="FF00B050"/>
      </colorScale>
    </cfRule>
  </conditionalFormatting>
  <conditionalFormatting sqref="CY242:CY348">
    <cfRule type="colorScale" priority="11675">
      <colorScale>
        <cfvo type="min"/>
        <cfvo type="max"/>
        <color rgb="FFFFFF00"/>
        <color rgb="FF00B050"/>
      </colorScale>
    </cfRule>
  </conditionalFormatting>
  <conditionalFormatting sqref="CZ15:CZ19">
    <cfRule type="cellIs" dxfId="6" priority="89" operator="lessThanOrEqual">
      <formula>74</formula>
    </cfRule>
    <cfRule type="cellIs" dxfId="5" priority="189" operator="greaterThan">
      <formula>89.5</formula>
    </cfRule>
    <cfRule type="cellIs" dxfId="4" priority="190" operator="greaterThan">
      <formula>89</formula>
    </cfRule>
  </conditionalFormatting>
  <conditionalFormatting sqref="CZ139:DA239">
    <cfRule type="cellIs" dxfId="3" priority="99" operator="greaterThan">
      <formula>60</formula>
    </cfRule>
  </conditionalFormatting>
  <conditionalFormatting sqref="DA5:DA14 AA5:AB14 CA5:CA14 CZ13:CZ21 AA240:AB348 CA240:CA348 DA240:DA348">
    <cfRule type="cellIs" dxfId="2" priority="168" operator="greaterThan">
      <formula>95</formula>
    </cfRule>
  </conditionalFormatting>
  <conditionalFormatting sqref="DA13:DA14">
    <cfRule type="cellIs" dxfId="1" priority="111" operator="greaterThan">
      <formula>95</formula>
    </cfRule>
  </conditionalFormatting>
  <conditionalFormatting sqref="DA16 AA22:AB34 BZ22:CA34 DA22:DA34 AA173:AB173 BZ173:CA173 DA173">
    <cfRule type="cellIs" dxfId="0" priority="159" operator="greaterThan">
      <formula>90</formula>
    </cfRule>
  </conditionalFormatting>
  <dataValidations count="2">
    <dataValidation type="list" allowBlank="1" showInputMessage="1" showErrorMessage="1" sqref="AC4:AF10 AJ4:AN10 BQ4:BT8 BR9:BT10 BQ10 BZ14 R15:T15 CS345:CT348 AC49:AF55 AJ49:AN55 AC57:AF63 AJ57:AN63 AC65:AF71 AJ65:AN71 AC73:AF79 AJ73:AN79 AC81:AF87 AC89:AF95 AC97:AF103 AC105:AF111 AC178:AF184 AJ178:AN184 AC186:AF192 AJ186:AM192 AN186:AN189 AC194:AF200 AJ194:AM200 AN196:AN311 AC202:AF208 AJ202:AM208 AC210:AF216 AJ210:AM216 AC218:AF224 AJ218:AM250 AC226:AF232 AC234:AF327 R242:T348 AJ251:AL335 AM251:AM311 U301:U348 AM312:AN336 AC329:AF335 AC337:AF343 AJ337:AN343 CT344 AC345:AF348 AJ345:AN348 AS344:AT344 AR196:AT343 AC33:AF47 AJ33:AN47 CS43:CT343 CQ43:CR348 C4:G348 K4:N348 BB4:BE348 BI4:BM348 CB4:CF348 BQ11:BT348 CQ173:CT173 CQ4:CT42 AJ81:AN176 AJ12:AN31 AC113:AF176 AC12:AF31 R16:U241 R12:U14 R4:U10 AR12:AU31 AR33:AU176 AU185:AU343 AR345:AU348 AR178:AU184 AR4:AU10 CJ4:CM348" xr:uid="{00000000-0002-0000-0000-000000000000}">
      <formula1>"PR,AB"</formula1>
    </dataValidation>
    <dataValidation type="list" errorStyle="information" allowBlank="1" showInputMessage="1" showErrorMessage="1" errorTitle="ATTENDED" error="The text entered is not an option from the ATTENDED drop-down list." promptTitle="ATTENDANCE:" prompt="Select.._x000a_PR if Present_x000a_AB if Absent" sqref="AJ344:AN344 AC11:AF11 AJ11:AN11 U15 AC344:AF344 AC32:AF32 AJ32:AN32 AC48:AF48 AJ48:AN48 AC56:AF56 AJ56:AN56 AC64:AF64 AJ64:AN64 AC72:AF72 AJ72:AN72 AC80:AF80 AJ80:AN80 AC88:AF88 AC96:AF96 AC104:AF104 AC112:AF112 AJ336:AL336 AC177:AF177 AJ177:AN177 AC185:AF185 AJ185:AN185 AN190:AN195 AC193:AF193 AJ193:AM193 AC201:AF201 AJ201:AM201 AC209:AF209 AJ209:AM209 AC217:AF217 AJ217:AM217 AC225:AF225 AC233:AF233 U242:U300 AC328:AF328 AC336:AF336 AR185:AT195 AR344 R11:U11 AU344 AR177:AU177 AR32:AU32 AR11:AU11" xr:uid="{00000000-0002-0000-0000-000001000000}">
      <formula1>Attended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7"/>
  <sheetViews>
    <sheetView zoomScale="102" zoomScaleNormal="102" workbookViewId="0">
      <pane xSplit="1" topLeftCell="B1" activePane="topRight" state="frozen"/>
      <selection pane="topRight" activeCell="B22" sqref="B22"/>
    </sheetView>
  </sheetViews>
  <sheetFormatPr defaultColWidth="8.88671875" defaultRowHeight="12"/>
  <cols>
    <col min="1" max="1" width="16.6640625" style="58" customWidth="1"/>
    <col min="2" max="2" width="5.77734375" style="2" customWidth="1"/>
    <col min="3" max="3" width="6" style="2" customWidth="1"/>
    <col min="4" max="4" width="4.5546875" style="2" bestFit="1" customWidth="1"/>
    <col min="5" max="5" width="6.6640625" style="2" bestFit="1" customWidth="1"/>
    <col min="6" max="6" width="5.33203125" style="2" bestFit="1" customWidth="1"/>
    <col min="7" max="7" width="6.6640625" style="2" bestFit="1" customWidth="1"/>
    <col min="8" max="8" width="4.6640625" style="2" bestFit="1" customWidth="1"/>
    <col min="9" max="9" width="6.33203125" style="2" bestFit="1" customWidth="1"/>
    <col min="10" max="10" width="4.6640625" style="2" bestFit="1" customWidth="1"/>
    <col min="11" max="11" width="6.33203125" style="2" customWidth="1"/>
    <col min="12" max="12" width="5.109375" style="2" bestFit="1" customWidth="1"/>
    <col min="13" max="13" width="5.6640625" style="2" customWidth="1"/>
    <col min="14" max="14" width="4.44140625" style="2" bestFit="1" customWidth="1"/>
    <col min="15" max="15" width="6.6640625" style="2" bestFit="1" customWidth="1"/>
    <col min="16" max="16" width="5.44140625" style="2" bestFit="1" customWidth="1"/>
    <col min="17" max="17" width="6.33203125" style="2" bestFit="1" customWidth="1"/>
    <col min="18" max="18" width="5.109375" style="2" customWidth="1"/>
    <col min="19" max="19" width="6.6640625" style="2" customWidth="1"/>
    <col min="20" max="20" width="4.33203125" style="2" customWidth="1"/>
    <col min="21" max="21" width="6" style="2" customWidth="1"/>
    <col min="22" max="22" width="5.109375" style="2" customWidth="1"/>
    <col min="23" max="23" width="6.33203125" style="2" customWidth="1"/>
    <col min="24" max="24" width="5.109375" style="2" customWidth="1"/>
    <col min="25" max="25" width="6.33203125" style="2" customWidth="1"/>
    <col min="26" max="27" width="5.44140625" style="2" customWidth="1"/>
    <col min="28" max="31" width="5.5546875" style="2" customWidth="1"/>
    <col min="32" max="32" width="5.109375" style="2" customWidth="1"/>
    <col min="33" max="33" width="6" style="2" customWidth="1"/>
    <col min="34" max="34" width="5.44140625" style="2" customWidth="1"/>
    <col min="35" max="35" width="6.33203125" style="3" customWidth="1"/>
    <col min="36" max="36" width="11" style="2" customWidth="1"/>
    <col min="37" max="16384" width="8.88671875" style="2"/>
  </cols>
  <sheetData>
    <row r="1" spans="1:35" ht="12.6" thickBot="1">
      <c r="AH1" s="47"/>
      <c r="AI1" s="4"/>
    </row>
    <row r="2" spans="1:35" ht="12.6" thickBot="1">
      <c r="A2" s="59"/>
      <c r="B2" s="50" t="s">
        <v>78</v>
      </c>
      <c r="C2" s="50" t="s">
        <v>137</v>
      </c>
      <c r="D2" s="50" t="s">
        <v>79</v>
      </c>
      <c r="E2" s="50" t="s">
        <v>137</v>
      </c>
      <c r="F2" s="50" t="s">
        <v>80</v>
      </c>
      <c r="G2" s="50" t="s">
        <v>137</v>
      </c>
      <c r="H2" s="50" t="s">
        <v>139</v>
      </c>
      <c r="I2" s="50" t="s">
        <v>138</v>
      </c>
      <c r="J2" s="50" t="s">
        <v>81</v>
      </c>
      <c r="K2" s="50" t="s">
        <v>137</v>
      </c>
      <c r="L2" s="50" t="s">
        <v>82</v>
      </c>
      <c r="M2" s="50" t="s">
        <v>137</v>
      </c>
      <c r="N2" s="50" t="s">
        <v>83</v>
      </c>
      <c r="O2" s="50" t="s">
        <v>137</v>
      </c>
      <c r="P2" s="50" t="s">
        <v>139</v>
      </c>
      <c r="Q2" s="50" t="s">
        <v>138</v>
      </c>
      <c r="R2" s="50" t="s">
        <v>84</v>
      </c>
      <c r="S2" s="50" t="s">
        <v>137</v>
      </c>
      <c r="T2" s="50" t="s">
        <v>85</v>
      </c>
      <c r="U2" s="50" t="s">
        <v>137</v>
      </c>
      <c r="V2" s="50" t="s">
        <v>86</v>
      </c>
      <c r="W2" s="50" t="s">
        <v>137</v>
      </c>
      <c r="X2" s="50" t="s">
        <v>139</v>
      </c>
      <c r="Y2" s="50" t="s">
        <v>138</v>
      </c>
      <c r="Z2" s="50" t="s">
        <v>87</v>
      </c>
      <c r="AA2" s="50" t="s">
        <v>137</v>
      </c>
      <c r="AB2" s="50" t="s">
        <v>88</v>
      </c>
      <c r="AC2" s="50" t="s">
        <v>137</v>
      </c>
      <c r="AD2" s="51" t="s">
        <v>89</v>
      </c>
      <c r="AE2" s="50" t="s">
        <v>137</v>
      </c>
      <c r="AF2" s="50" t="s">
        <v>139</v>
      </c>
      <c r="AG2" s="50" t="s">
        <v>138</v>
      </c>
      <c r="AH2" s="50" t="s">
        <v>140</v>
      </c>
      <c r="AI2" s="52" t="s">
        <v>136</v>
      </c>
    </row>
    <row r="3" spans="1:35">
      <c r="A3" s="60" t="s">
        <v>135</v>
      </c>
      <c r="B3" s="48">
        <f>'EMPOWERMENT GROUP'!H351</f>
        <v>0</v>
      </c>
      <c r="C3" s="127" t="e">
        <f>B4/B3*100</f>
        <v>#DIV/0!</v>
      </c>
      <c r="D3" s="48">
        <f>'EMPOWERMENT GROUP'!O351</f>
        <v>0</v>
      </c>
      <c r="E3" s="115" t="e">
        <f>D4/D3*100</f>
        <v>#DIV/0!</v>
      </c>
      <c r="F3" s="48">
        <f>'EMPOWERMENT GROUP'!V351</f>
        <v>0</v>
      </c>
      <c r="G3" s="115" t="e">
        <f>F4/F3*100</f>
        <v>#REF!</v>
      </c>
      <c r="H3" s="55">
        <f t="shared" ref="H3:H14" si="0">B3+D3+F3</f>
        <v>0</v>
      </c>
      <c r="I3" s="131" t="e">
        <f>H4/H3*100</f>
        <v>#REF!</v>
      </c>
      <c r="J3" s="48">
        <f>'EMPOWERMENT GROUP'!AG351</f>
        <v>0</v>
      </c>
      <c r="K3" s="115" t="e">
        <f>J4/J3*100</f>
        <v>#DIV/0!</v>
      </c>
      <c r="L3" s="48">
        <f>'EMPOWERMENT GROUP'!AO351</f>
        <v>0</v>
      </c>
      <c r="M3" s="115" t="e">
        <f>L4/L3*100</f>
        <v>#DIV/0!</v>
      </c>
      <c r="N3" s="48">
        <f>'EMPOWERMENT GROUP'!AV351</f>
        <v>0</v>
      </c>
      <c r="O3" s="115" t="e">
        <f>N4/N3*100</f>
        <v>#REF!</v>
      </c>
      <c r="P3" s="55">
        <f t="shared" ref="P3:P14" si="1">J3+L3+N3</f>
        <v>0</v>
      </c>
      <c r="Q3" s="131" t="e">
        <f>P4/P3*100</f>
        <v>#REF!</v>
      </c>
      <c r="R3" s="48">
        <f>'EMPOWERMENT GROUP'!BF351</f>
        <v>0</v>
      </c>
      <c r="S3" s="105" t="e">
        <f>R4/R3*100</f>
        <v>#DIV/0!</v>
      </c>
      <c r="T3" s="48">
        <f>'EMPOWERMENT GROUP'!BN351</f>
        <v>0</v>
      </c>
      <c r="U3" s="105" t="e">
        <f>T4/T3*100</f>
        <v>#DIV/0!</v>
      </c>
      <c r="V3" s="48">
        <f>'EMPOWERMENT GROUP'!BU351</f>
        <v>0</v>
      </c>
      <c r="W3" s="105" t="e">
        <f>V4/V3*100</f>
        <v>#DIV/0!</v>
      </c>
      <c r="X3" s="55">
        <f t="shared" ref="X3:X14" si="2">R3+T3+V3</f>
        <v>0</v>
      </c>
      <c r="Y3" s="131" t="e">
        <f>X4/X3*100</f>
        <v>#DIV/0!</v>
      </c>
      <c r="Z3" s="48">
        <f>'EMPOWERMENT GROUP'!CG351</f>
        <v>0</v>
      </c>
      <c r="AA3" s="105" t="e">
        <f>Z4/Z3*100</f>
        <v>#DIV/0!</v>
      </c>
      <c r="AB3" s="48">
        <f>'EMPOWERMENT GROUP'!CN351</f>
        <v>0</v>
      </c>
      <c r="AC3" s="105" t="e">
        <f>AB4/AB3*100</f>
        <v>#REF!</v>
      </c>
      <c r="AD3" s="49">
        <f>'EMPOWERMENT GROUP'!CU351</f>
        <v>0</v>
      </c>
      <c r="AE3" s="105" t="e">
        <f>AD4/AD3*100</f>
        <v>#DIV/0!</v>
      </c>
      <c r="AF3" s="55">
        <f t="shared" ref="AF3:AF14" si="3">Z3+AB3+AD3</f>
        <v>0</v>
      </c>
      <c r="AG3" s="131" t="e">
        <f>AF4/AF3*100</f>
        <v>#REF!</v>
      </c>
      <c r="AH3" s="48">
        <f t="shared" ref="AH3:AH14" si="4">B3+D3+F3+J3+L3+N3+R3+T3+V3+Z3+AB3+AD3</f>
        <v>0</v>
      </c>
      <c r="AI3" s="131" t="e">
        <f>AH4/AH3*100</f>
        <v>#REF!</v>
      </c>
    </row>
    <row r="4" spans="1:35">
      <c r="A4" s="61" t="s">
        <v>145</v>
      </c>
      <c r="B4" s="34">
        <f>'EMPOWERMENT GROUP'!C352</f>
        <v>0</v>
      </c>
      <c r="C4" s="128"/>
      <c r="D4" s="34">
        <f>'EMPOWERMENT GROUP'!K352</f>
        <v>0</v>
      </c>
      <c r="E4" s="116"/>
      <c r="F4" s="34" t="e">
        <f>'EMPOWERMENT GROUP'!R352</f>
        <v>#REF!</v>
      </c>
      <c r="G4" s="116"/>
      <c r="H4" s="56" t="e">
        <f t="shared" si="0"/>
        <v>#REF!</v>
      </c>
      <c r="I4" s="130"/>
      <c r="J4" s="34">
        <f>'EMPOWERMENT GROUP'!AC352</f>
        <v>0</v>
      </c>
      <c r="K4" s="116"/>
      <c r="L4" s="34">
        <f>'EMPOWERMENT GROUP'!AJ352</f>
        <v>0</v>
      </c>
      <c r="M4" s="116"/>
      <c r="N4" s="34" t="e">
        <f>'EMPOWERMENT GROUP'!AR352</f>
        <v>#REF!</v>
      </c>
      <c r="O4" s="116"/>
      <c r="P4" s="56" t="e">
        <f t="shared" si="1"/>
        <v>#REF!</v>
      </c>
      <c r="Q4" s="130"/>
      <c r="R4" s="34">
        <f>'EMPOWERMENT GROUP'!BB352</f>
        <v>0</v>
      </c>
      <c r="S4" s="106"/>
      <c r="T4" s="34">
        <f>'EMPOWERMENT GROUP'!BI352</f>
        <v>0</v>
      </c>
      <c r="U4" s="106"/>
      <c r="V4" s="34">
        <f>'EMPOWERMENT GROUP'!BQ352</f>
        <v>0</v>
      </c>
      <c r="W4" s="106"/>
      <c r="X4" s="56">
        <f t="shared" si="2"/>
        <v>0</v>
      </c>
      <c r="Y4" s="130"/>
      <c r="Z4" s="34">
        <f>'EMPOWERMENT GROUP'!CB352</f>
        <v>0</v>
      </c>
      <c r="AA4" s="106"/>
      <c r="AB4" s="34" t="e">
        <f>'EMPOWERMENT GROUP'!CJ352</f>
        <v>#REF!</v>
      </c>
      <c r="AC4" s="106"/>
      <c r="AD4" s="35">
        <f>'EMPOWERMENT GROUP'!CQ352</f>
        <v>0</v>
      </c>
      <c r="AE4" s="106"/>
      <c r="AF4" s="56" t="e">
        <f t="shared" si="3"/>
        <v>#REF!</v>
      </c>
      <c r="AG4" s="130"/>
      <c r="AH4" s="34" t="e">
        <f t="shared" si="4"/>
        <v>#REF!</v>
      </c>
      <c r="AI4" s="130"/>
    </row>
    <row r="5" spans="1:35">
      <c r="A5" s="62" t="s">
        <v>135</v>
      </c>
      <c r="B5" s="36">
        <f>'EMPOWERMENT GROUP'!J13</f>
        <v>0</v>
      </c>
      <c r="C5" s="107" t="e">
        <f>B6/B5*100</f>
        <v>#DIV/0!</v>
      </c>
      <c r="D5" s="36">
        <f>'EMPOWERMENT GROUP'!Q13</f>
        <v>0</v>
      </c>
      <c r="E5" s="117" t="e">
        <f>D6/D5*100</f>
        <v>#DIV/0!</v>
      </c>
      <c r="F5" s="36">
        <f>'EMPOWERMENT GROUP'!X13</f>
        <v>0</v>
      </c>
      <c r="G5" s="117" t="e">
        <f>F6/F5*100</f>
        <v>#DIV/0!</v>
      </c>
      <c r="H5" s="57">
        <f t="shared" si="0"/>
        <v>0</v>
      </c>
      <c r="I5" s="129" t="e">
        <f>H6/H5*100</f>
        <v>#DIV/0!</v>
      </c>
      <c r="J5" s="36">
        <f>'EMPOWERMENT GROUP'!AI13</f>
        <v>0</v>
      </c>
      <c r="K5" s="117" t="e">
        <f>J6/J5*100</f>
        <v>#DIV/0!</v>
      </c>
      <c r="L5" s="36">
        <f>'EMPOWERMENT GROUP'!AQ13</f>
        <v>0</v>
      </c>
      <c r="M5" s="117" t="e">
        <f>L6/L5*100</f>
        <v>#DIV/0!</v>
      </c>
      <c r="N5" s="36">
        <f>'EMPOWERMENT GROUP'!AX13</f>
        <v>0</v>
      </c>
      <c r="O5" s="117" t="e">
        <f>N6/N5*100</f>
        <v>#DIV/0!</v>
      </c>
      <c r="P5" s="57">
        <f t="shared" si="1"/>
        <v>0</v>
      </c>
      <c r="Q5" s="129" t="e">
        <f>P6/P5*100</f>
        <v>#DIV/0!</v>
      </c>
      <c r="R5" s="36">
        <f>'EMPOWERMENT GROUP'!BH13</f>
        <v>0</v>
      </c>
      <c r="S5" s="107" t="e">
        <f>R6/R5*100</f>
        <v>#DIV/0!</v>
      </c>
      <c r="T5" s="36">
        <f>'EMPOWERMENT GROUP'!BP13</f>
        <v>0</v>
      </c>
      <c r="U5" s="107" t="e">
        <f>T6/T5*100</f>
        <v>#DIV/0!</v>
      </c>
      <c r="V5" s="36">
        <f>'EMPOWERMENT GROUP'!BW13</f>
        <v>0</v>
      </c>
      <c r="W5" s="107" t="e">
        <f>V6/V5*100</f>
        <v>#DIV/0!</v>
      </c>
      <c r="X5" s="57">
        <f t="shared" si="2"/>
        <v>0</v>
      </c>
      <c r="Y5" s="129" t="e">
        <f>X6/X5*100</f>
        <v>#DIV/0!</v>
      </c>
      <c r="Z5" s="36">
        <f>'EMPOWERMENT GROUP'!CI13</f>
        <v>0</v>
      </c>
      <c r="AA5" s="107" t="e">
        <f>Z6/Z5*100</f>
        <v>#DIV/0!</v>
      </c>
      <c r="AB5" s="36">
        <f>'EMPOWERMENT GROUP'!CP13</f>
        <v>0</v>
      </c>
      <c r="AC5" s="107" t="e">
        <f>AB6/AB5*100</f>
        <v>#DIV/0!</v>
      </c>
      <c r="AD5" s="37">
        <f>'EMPOWERMENT GROUP'!CW13</f>
        <v>0</v>
      </c>
      <c r="AE5" s="107" t="e">
        <f>AD6/AD5*100</f>
        <v>#DIV/0!</v>
      </c>
      <c r="AF5" s="57">
        <f t="shared" si="3"/>
        <v>0</v>
      </c>
      <c r="AG5" s="129" t="e">
        <f>AF6/AF5*100</f>
        <v>#DIV/0!</v>
      </c>
      <c r="AH5" s="36">
        <f t="shared" si="4"/>
        <v>0</v>
      </c>
      <c r="AI5" s="129" t="e">
        <f>AH6/AH5*100</f>
        <v>#DIV/0!</v>
      </c>
    </row>
    <row r="6" spans="1:35" ht="12.6" thickBot="1">
      <c r="A6" s="61" t="s">
        <v>90</v>
      </c>
      <c r="B6" s="32">
        <f>'EMPOWERMENT GROUP'!H13</f>
        <v>0</v>
      </c>
      <c r="C6" s="108"/>
      <c r="D6" s="32">
        <f>'EMPOWERMENT GROUP'!O13</f>
        <v>0</v>
      </c>
      <c r="E6" s="118"/>
      <c r="F6" s="32">
        <f>'EMPOWERMENT GROUP'!V13</f>
        <v>0</v>
      </c>
      <c r="G6" s="118"/>
      <c r="H6" s="56">
        <f t="shared" si="0"/>
        <v>0</v>
      </c>
      <c r="I6" s="130"/>
      <c r="J6" s="32">
        <f>'EMPOWERMENT GROUP'!AG13</f>
        <v>0</v>
      </c>
      <c r="K6" s="118"/>
      <c r="L6" s="32">
        <f>'EMPOWERMENT GROUP'!AO13</f>
        <v>0</v>
      </c>
      <c r="M6" s="118"/>
      <c r="N6" s="32">
        <f>'EMPOWERMENT GROUP'!AO13</f>
        <v>0</v>
      </c>
      <c r="O6" s="118"/>
      <c r="P6" s="56">
        <f t="shared" si="1"/>
        <v>0</v>
      </c>
      <c r="Q6" s="130"/>
      <c r="R6" s="32">
        <f>'EMPOWERMENT GROUP'!BF13</f>
        <v>0</v>
      </c>
      <c r="S6" s="132"/>
      <c r="T6" s="32">
        <f>'EMPOWERMENT GROUP'!BN13</f>
        <v>0</v>
      </c>
      <c r="U6" s="108"/>
      <c r="V6" s="32">
        <f>'EMPOWERMENT GROUP'!BU13</f>
        <v>0</v>
      </c>
      <c r="W6" s="108"/>
      <c r="X6" s="56">
        <f t="shared" si="2"/>
        <v>0</v>
      </c>
      <c r="Y6" s="130"/>
      <c r="Z6" s="32">
        <f>'EMPOWERMENT GROUP'!CG13</f>
        <v>0</v>
      </c>
      <c r="AA6" s="108"/>
      <c r="AB6" s="32">
        <f>'EMPOWERMENT GROUP'!CN13</f>
        <v>0</v>
      </c>
      <c r="AC6" s="108"/>
      <c r="AD6" s="33">
        <f>'EMPOWERMENT GROUP'!CU13</f>
        <v>0</v>
      </c>
      <c r="AE6" s="108"/>
      <c r="AF6" s="56">
        <f t="shared" si="3"/>
        <v>0</v>
      </c>
      <c r="AG6" s="130"/>
      <c r="AH6" s="32">
        <f t="shared" si="4"/>
        <v>0</v>
      </c>
      <c r="AI6" s="130"/>
    </row>
    <row r="7" spans="1:35">
      <c r="A7" s="62" t="s">
        <v>135</v>
      </c>
      <c r="B7" s="38">
        <f>'EMPOWERMENT GROUP'!J20</f>
        <v>0</v>
      </c>
      <c r="C7" s="109" t="e">
        <f>B8/B7*100</f>
        <v>#DIV/0!</v>
      </c>
      <c r="D7" s="38">
        <f>'EMPOWERMENT GROUP'!Q20</f>
        <v>0</v>
      </c>
      <c r="E7" s="119" t="e">
        <f>D8/D7*100</f>
        <v>#DIV/0!</v>
      </c>
      <c r="F7" s="38">
        <f>'EMPOWERMENT GROUP'!X20</f>
        <v>0</v>
      </c>
      <c r="G7" s="119" t="e">
        <f>F8/F7*100</f>
        <v>#DIV/0!</v>
      </c>
      <c r="H7" s="57">
        <f t="shared" si="0"/>
        <v>0</v>
      </c>
      <c r="I7" s="129" t="e">
        <f>H8/H7*100</f>
        <v>#DIV/0!</v>
      </c>
      <c r="J7" s="38">
        <f>'EMPOWERMENT GROUP'!AI20</f>
        <v>0</v>
      </c>
      <c r="K7" s="119" t="e">
        <f>J8/J7*100</f>
        <v>#DIV/0!</v>
      </c>
      <c r="L7" s="38">
        <f>'EMPOWERMENT GROUP'!AQ20</f>
        <v>0</v>
      </c>
      <c r="M7" s="119" t="e">
        <f>L8/L7*100</f>
        <v>#DIV/0!</v>
      </c>
      <c r="N7" s="38">
        <f>'EMPOWERMENT GROUP'!AX20</f>
        <v>0</v>
      </c>
      <c r="O7" s="119" t="e">
        <f>N8/N7*100</f>
        <v>#DIV/0!</v>
      </c>
      <c r="P7" s="57">
        <f t="shared" si="1"/>
        <v>0</v>
      </c>
      <c r="Q7" s="129" t="e">
        <f>P8/P7*100</f>
        <v>#DIV/0!</v>
      </c>
      <c r="R7" s="39">
        <f>'EMPOWERMENT GROUP'!BH20</f>
        <v>0</v>
      </c>
      <c r="S7" s="133" t="e">
        <f>R8/R7*100</f>
        <v>#DIV/0!</v>
      </c>
      <c r="T7" s="53">
        <f>'EMPOWERMENT GROUP'!BP20</f>
        <v>0</v>
      </c>
      <c r="U7" s="109" t="e">
        <f>T8/T7*100</f>
        <v>#DIV/0!</v>
      </c>
      <c r="V7" s="38">
        <f>'EMPOWERMENT GROUP'!BW20</f>
        <v>0</v>
      </c>
      <c r="W7" s="109" t="e">
        <f>V8/V7*100</f>
        <v>#DIV/0!</v>
      </c>
      <c r="X7" s="57">
        <f t="shared" si="2"/>
        <v>0</v>
      </c>
      <c r="Y7" s="129" t="e">
        <f>X8/X7*100</f>
        <v>#DIV/0!</v>
      </c>
      <c r="Z7" s="38">
        <f>'EMPOWERMENT GROUP'!CI20</f>
        <v>0</v>
      </c>
      <c r="AA7" s="109" t="e">
        <f>Z8/Z7*100</f>
        <v>#DIV/0!</v>
      </c>
      <c r="AB7" s="38">
        <f>'EMPOWERMENT GROUP'!CP20</f>
        <v>0</v>
      </c>
      <c r="AC7" s="109" t="e">
        <f>AB8/AB7*100</f>
        <v>#DIV/0!</v>
      </c>
      <c r="AD7" s="39">
        <f>'EMPOWERMENT GROUP'!CP20</f>
        <v>0</v>
      </c>
      <c r="AE7" s="109" t="e">
        <f>AD8/AD7*100</f>
        <v>#DIV/0!</v>
      </c>
      <c r="AF7" s="57">
        <f t="shared" si="3"/>
        <v>0</v>
      </c>
      <c r="AG7" s="129" t="e">
        <f>AF8/AF7*100</f>
        <v>#DIV/0!</v>
      </c>
      <c r="AH7" s="38">
        <f t="shared" si="4"/>
        <v>0</v>
      </c>
      <c r="AI7" s="129" t="e">
        <f>AH8/AH7*100</f>
        <v>#DIV/0!</v>
      </c>
    </row>
    <row r="8" spans="1:35" ht="12.6" thickBot="1">
      <c r="A8" s="61" t="s">
        <v>91</v>
      </c>
      <c r="B8" s="30">
        <f>'EMPOWERMENT GROUP'!H20</f>
        <v>0</v>
      </c>
      <c r="C8" s="110"/>
      <c r="D8" s="30">
        <f>'EMPOWERMENT GROUP'!O20</f>
        <v>0</v>
      </c>
      <c r="E8" s="120"/>
      <c r="F8" s="30">
        <f>'EMPOWERMENT GROUP'!V20</f>
        <v>0</v>
      </c>
      <c r="G8" s="120"/>
      <c r="H8" s="56">
        <f t="shared" si="0"/>
        <v>0</v>
      </c>
      <c r="I8" s="130"/>
      <c r="J8" s="30">
        <f>'EMPOWERMENT GROUP'!AG20</f>
        <v>0</v>
      </c>
      <c r="K8" s="120"/>
      <c r="L8" s="30">
        <f>'EMPOWERMENT GROUP'!AO20</f>
        <v>0</v>
      </c>
      <c r="M8" s="120"/>
      <c r="N8" s="30">
        <f>'EMPOWERMENT GROUP'!AV20</f>
        <v>0</v>
      </c>
      <c r="O8" s="120"/>
      <c r="P8" s="56">
        <f t="shared" si="1"/>
        <v>0</v>
      </c>
      <c r="Q8" s="130"/>
      <c r="R8" s="31">
        <f>'EMPOWERMENT GROUP'!BF20</f>
        <v>0</v>
      </c>
      <c r="S8" s="134"/>
      <c r="T8" s="54">
        <f>'EMPOWERMENT GROUP'!BN20</f>
        <v>0</v>
      </c>
      <c r="U8" s="110"/>
      <c r="V8" s="30">
        <f>'EMPOWERMENT GROUP'!BU20</f>
        <v>0</v>
      </c>
      <c r="W8" s="110"/>
      <c r="X8" s="56">
        <f t="shared" si="2"/>
        <v>0</v>
      </c>
      <c r="Y8" s="130"/>
      <c r="Z8" s="30">
        <f>'EMPOWERMENT GROUP'!CG20</f>
        <v>0</v>
      </c>
      <c r="AA8" s="110"/>
      <c r="AB8" s="30">
        <f>'EMPOWERMENT GROUP'!CN20</f>
        <v>0</v>
      </c>
      <c r="AC8" s="110"/>
      <c r="AD8" s="31">
        <f>'EMPOWERMENT GROUP'!CU20</f>
        <v>0</v>
      </c>
      <c r="AE8" s="110"/>
      <c r="AF8" s="56">
        <f t="shared" si="3"/>
        <v>0</v>
      </c>
      <c r="AG8" s="130"/>
      <c r="AH8" s="30">
        <f t="shared" si="4"/>
        <v>0</v>
      </c>
      <c r="AI8" s="130"/>
    </row>
    <row r="9" spans="1:35">
      <c r="A9" s="62" t="s">
        <v>135</v>
      </c>
      <c r="B9" s="40">
        <f>'EMPOWERMENT GROUP'!J35</f>
        <v>0</v>
      </c>
      <c r="C9" s="111" t="e">
        <f>B10/B9*100</f>
        <v>#DIV/0!</v>
      </c>
      <c r="D9" s="40">
        <f>'EMPOWERMENT GROUP'!Q35</f>
        <v>0</v>
      </c>
      <c r="E9" s="121" t="e">
        <f>D10/D9*100</f>
        <v>#DIV/0!</v>
      </c>
      <c r="F9" s="40">
        <f>'EMPOWERMENT GROUP'!X35</f>
        <v>0</v>
      </c>
      <c r="G9" s="121" t="e">
        <f>F10/F9*100</f>
        <v>#DIV/0!</v>
      </c>
      <c r="H9" s="57">
        <f t="shared" si="0"/>
        <v>0</v>
      </c>
      <c r="I9" s="129" t="e">
        <f>H10/H9*100</f>
        <v>#DIV/0!</v>
      </c>
      <c r="J9" s="40">
        <f>'EMPOWERMENT GROUP'!AI35</f>
        <v>0</v>
      </c>
      <c r="K9" s="121" t="e">
        <f>J10/J9*100</f>
        <v>#DIV/0!</v>
      </c>
      <c r="L9" s="40">
        <f>'EMPOWERMENT GROUP'!AQ35</f>
        <v>0</v>
      </c>
      <c r="M9" s="121" t="e">
        <f>L10/L9*100</f>
        <v>#DIV/0!</v>
      </c>
      <c r="N9" s="40">
        <f>'EMPOWERMENT GROUP'!AX35</f>
        <v>0</v>
      </c>
      <c r="O9" s="121" t="e">
        <f>N10/N9*100</f>
        <v>#DIV/0!</v>
      </c>
      <c r="P9" s="57">
        <f t="shared" si="1"/>
        <v>0</v>
      </c>
      <c r="Q9" s="129" t="e">
        <f>P10/P9*100</f>
        <v>#DIV/0!</v>
      </c>
      <c r="R9" s="40">
        <f>'EMPOWERMENT GROUP'!BH35</f>
        <v>0</v>
      </c>
      <c r="S9" s="135" t="e">
        <f>R10/R9*100</f>
        <v>#DIV/0!</v>
      </c>
      <c r="T9" s="40">
        <f>'EMPOWERMENT GROUP'!BP35</f>
        <v>0</v>
      </c>
      <c r="U9" s="111" t="e">
        <f>T10/T9*100</f>
        <v>#DIV/0!</v>
      </c>
      <c r="V9" s="40">
        <f>'EMPOWERMENT GROUP'!BW35</f>
        <v>0</v>
      </c>
      <c r="W9" s="111" t="e">
        <f>V10/V9*100</f>
        <v>#DIV/0!</v>
      </c>
      <c r="X9" s="57">
        <f t="shared" si="2"/>
        <v>0</v>
      </c>
      <c r="Y9" s="129" t="e">
        <f>X10/X9*100</f>
        <v>#DIV/0!</v>
      </c>
      <c r="Z9" s="40">
        <f>'EMPOWERMENT GROUP'!CI35</f>
        <v>0</v>
      </c>
      <c r="AA9" s="111" t="e">
        <f>Z10/Z9*100</f>
        <v>#DIV/0!</v>
      </c>
      <c r="AB9" s="40">
        <f>'EMPOWERMENT GROUP'!CP35</f>
        <v>0</v>
      </c>
      <c r="AC9" s="111" t="e">
        <f>AB10/AB9*100</f>
        <v>#DIV/0!</v>
      </c>
      <c r="AD9" s="41">
        <f>'EMPOWERMENT GROUP'!CW35</f>
        <v>0</v>
      </c>
      <c r="AE9" s="111" t="e">
        <f>AD10/AD9*100</f>
        <v>#DIV/0!</v>
      </c>
      <c r="AF9" s="57">
        <f t="shared" si="3"/>
        <v>0</v>
      </c>
      <c r="AG9" s="129" t="e">
        <f>AF10/AF9*100</f>
        <v>#DIV/0!</v>
      </c>
      <c r="AH9" s="40">
        <f t="shared" si="4"/>
        <v>0</v>
      </c>
      <c r="AI9" s="129" t="e">
        <f>AH10/AH9*100</f>
        <v>#DIV/0!</v>
      </c>
    </row>
    <row r="10" spans="1:35">
      <c r="A10" s="61" t="s">
        <v>92</v>
      </c>
      <c r="B10" s="28">
        <f>'EMPOWERMENT GROUP'!H35</f>
        <v>0</v>
      </c>
      <c r="C10" s="112"/>
      <c r="D10" s="28">
        <f>'EMPOWERMENT GROUP'!O35</f>
        <v>0</v>
      </c>
      <c r="E10" s="122"/>
      <c r="F10" s="28">
        <f>'EMPOWERMENT GROUP'!V35</f>
        <v>0</v>
      </c>
      <c r="G10" s="122"/>
      <c r="H10" s="56">
        <f t="shared" si="0"/>
        <v>0</v>
      </c>
      <c r="I10" s="130"/>
      <c r="J10" s="28">
        <f>'EMPOWERMENT GROUP'!AG35</f>
        <v>0</v>
      </c>
      <c r="K10" s="122"/>
      <c r="L10" s="28">
        <f>'EMPOWERMENT GROUP'!AO35</f>
        <v>0</v>
      </c>
      <c r="M10" s="122"/>
      <c r="N10" s="28">
        <f>'EMPOWERMENT GROUP'!AV35</f>
        <v>0</v>
      </c>
      <c r="O10" s="122"/>
      <c r="P10" s="56">
        <f t="shared" si="1"/>
        <v>0</v>
      </c>
      <c r="Q10" s="130"/>
      <c r="R10" s="28">
        <f>'EMPOWERMENT GROUP'!BF35</f>
        <v>0</v>
      </c>
      <c r="S10" s="112"/>
      <c r="T10" s="28">
        <f>'EMPOWERMENT GROUP'!BN35</f>
        <v>0</v>
      </c>
      <c r="U10" s="112"/>
      <c r="V10" s="28">
        <f>'EMPOWERMENT GROUP'!BU35</f>
        <v>0</v>
      </c>
      <c r="W10" s="112"/>
      <c r="X10" s="56">
        <f t="shared" si="2"/>
        <v>0</v>
      </c>
      <c r="Y10" s="130"/>
      <c r="Z10" s="28">
        <f>'EMPOWERMENT GROUP'!CG35</f>
        <v>0</v>
      </c>
      <c r="AA10" s="112"/>
      <c r="AB10" s="28">
        <f>'EMPOWERMENT GROUP'!CN35</f>
        <v>0</v>
      </c>
      <c r="AC10" s="112"/>
      <c r="AD10" s="29">
        <f>'EMPOWERMENT GROUP'!CU35</f>
        <v>0</v>
      </c>
      <c r="AE10" s="112"/>
      <c r="AF10" s="56">
        <f t="shared" si="3"/>
        <v>0</v>
      </c>
      <c r="AG10" s="130"/>
      <c r="AH10" s="28">
        <f t="shared" si="4"/>
        <v>0</v>
      </c>
      <c r="AI10" s="130"/>
    </row>
    <row r="11" spans="1:35">
      <c r="A11" s="62" t="s">
        <v>135</v>
      </c>
      <c r="B11" s="42">
        <f>'EMPOWERMENT GROUP'!J137</f>
        <v>0</v>
      </c>
      <c r="C11" s="113" t="e">
        <f>B12/B11*100</f>
        <v>#DIV/0!</v>
      </c>
      <c r="D11" s="42">
        <f>'EMPOWERMENT GROUP'!Q137</f>
        <v>0</v>
      </c>
      <c r="E11" s="123" t="e">
        <f>D12/D11*100</f>
        <v>#DIV/0!</v>
      </c>
      <c r="F11" s="42">
        <f>'EMPOWERMENT GROUP'!X137</f>
        <v>0</v>
      </c>
      <c r="G11" s="123" t="e">
        <f>F12/F11*100</f>
        <v>#DIV/0!</v>
      </c>
      <c r="H11" s="57">
        <f t="shared" si="0"/>
        <v>0</v>
      </c>
      <c r="I11" s="129" t="e">
        <f>H12/H11*100</f>
        <v>#DIV/0!</v>
      </c>
      <c r="J11" s="42">
        <f>'EMPOWERMENT GROUP'!AI137</f>
        <v>0</v>
      </c>
      <c r="K11" s="123" t="e">
        <f>J12/J11*100</f>
        <v>#DIV/0!</v>
      </c>
      <c r="L11" s="42">
        <f>'EMPOWERMENT GROUP'!AQ137</f>
        <v>0</v>
      </c>
      <c r="M11" s="123" t="e">
        <f>L12/L11*100</f>
        <v>#DIV/0!</v>
      </c>
      <c r="N11" s="42">
        <f>'EMPOWERMENT GROUP'!AX137</f>
        <v>0</v>
      </c>
      <c r="O11" s="123" t="e">
        <f>N12/N11*100</f>
        <v>#DIV/0!</v>
      </c>
      <c r="P11" s="57">
        <f t="shared" si="1"/>
        <v>0</v>
      </c>
      <c r="Q11" s="129" t="e">
        <f>P12/P11*100</f>
        <v>#DIV/0!</v>
      </c>
      <c r="R11" s="42">
        <f>'EMPOWERMENT GROUP'!BH137</f>
        <v>0</v>
      </c>
      <c r="S11" s="113" t="e">
        <f>R12/R11*100</f>
        <v>#DIV/0!</v>
      </c>
      <c r="T11" s="42">
        <f>'EMPOWERMENT GROUP'!BP137</f>
        <v>0</v>
      </c>
      <c r="U11" s="113" t="e">
        <f>T12/T11*100</f>
        <v>#DIV/0!</v>
      </c>
      <c r="V11" s="42">
        <f>'EMPOWERMENT GROUP'!BW137</f>
        <v>0</v>
      </c>
      <c r="W11" s="113" t="e">
        <f>V12/V11*100</f>
        <v>#DIV/0!</v>
      </c>
      <c r="X11" s="57">
        <f t="shared" si="2"/>
        <v>0</v>
      </c>
      <c r="Y11" s="129" t="e">
        <f>X12/X11*100</f>
        <v>#DIV/0!</v>
      </c>
      <c r="Z11" s="42">
        <f>'EMPOWERMENT GROUP'!CI137</f>
        <v>0</v>
      </c>
      <c r="AA11" s="113" t="e">
        <f>Z12/Z11*100</f>
        <v>#DIV/0!</v>
      </c>
      <c r="AB11" s="42">
        <f>'EMPOWERMENT GROUP'!CP137</f>
        <v>0</v>
      </c>
      <c r="AC11" s="113" t="e">
        <f>AB12/AB11*100</f>
        <v>#DIV/0!</v>
      </c>
      <c r="AD11" s="43">
        <f>'EMPOWERMENT GROUP'!CW137</f>
        <v>0</v>
      </c>
      <c r="AE11" s="113" t="e">
        <f>AD12/AD11*100</f>
        <v>#DIV/0!</v>
      </c>
      <c r="AF11" s="57">
        <f t="shared" si="3"/>
        <v>0</v>
      </c>
      <c r="AG11" s="129" t="e">
        <f>AF12/AF11*100</f>
        <v>#DIV/0!</v>
      </c>
      <c r="AH11" s="42">
        <f t="shared" si="4"/>
        <v>0</v>
      </c>
      <c r="AI11" s="129" t="e">
        <f>AH12/AH11*100</f>
        <v>#DIV/0!</v>
      </c>
    </row>
    <row r="12" spans="1:35" ht="14.4" customHeight="1">
      <c r="A12" s="61" t="s">
        <v>93</v>
      </c>
      <c r="B12" s="26">
        <f>'EMPOWERMENT GROUP'!H137</f>
        <v>0</v>
      </c>
      <c r="C12" s="114"/>
      <c r="D12" s="26">
        <f>'EMPOWERMENT GROUP'!O137</f>
        <v>0</v>
      </c>
      <c r="E12" s="124"/>
      <c r="F12" s="26">
        <f>'EMPOWERMENT GROUP'!V137</f>
        <v>0</v>
      </c>
      <c r="G12" s="124"/>
      <c r="H12" s="56">
        <f t="shared" si="0"/>
        <v>0</v>
      </c>
      <c r="I12" s="130"/>
      <c r="J12" s="26">
        <f>'EMPOWERMENT GROUP'!AG137</f>
        <v>0</v>
      </c>
      <c r="K12" s="124"/>
      <c r="L12" s="26">
        <f>'EMPOWERMENT GROUP'!AO137</f>
        <v>0</v>
      </c>
      <c r="M12" s="124"/>
      <c r="N12" s="26">
        <f>'EMPOWERMENT GROUP'!AV137</f>
        <v>0</v>
      </c>
      <c r="O12" s="124"/>
      <c r="P12" s="56">
        <f t="shared" si="1"/>
        <v>0</v>
      </c>
      <c r="Q12" s="130"/>
      <c r="R12" s="26">
        <f>'EMPOWERMENT GROUP'!BF137</f>
        <v>0</v>
      </c>
      <c r="S12" s="114"/>
      <c r="T12" s="26">
        <f>'EMPOWERMENT GROUP'!BN137</f>
        <v>0</v>
      </c>
      <c r="U12" s="114"/>
      <c r="V12" s="26">
        <f>'EMPOWERMENT GROUP'!BU137</f>
        <v>0</v>
      </c>
      <c r="W12" s="114"/>
      <c r="X12" s="56">
        <f t="shared" si="2"/>
        <v>0</v>
      </c>
      <c r="Y12" s="130"/>
      <c r="Z12" s="26">
        <f>'EMPOWERMENT GROUP'!CG137</f>
        <v>0</v>
      </c>
      <c r="AA12" s="114"/>
      <c r="AB12" s="26">
        <f>'EMPOWERMENT GROUP'!CN137</f>
        <v>0</v>
      </c>
      <c r="AC12" s="114"/>
      <c r="AD12" s="27">
        <f>'EMPOWERMENT GROUP'!CU137</f>
        <v>0</v>
      </c>
      <c r="AE12" s="114"/>
      <c r="AF12" s="56">
        <f t="shared" si="3"/>
        <v>0</v>
      </c>
      <c r="AG12" s="130"/>
      <c r="AH12" s="26">
        <f t="shared" si="4"/>
        <v>0</v>
      </c>
      <c r="AI12" s="130"/>
    </row>
    <row r="13" spans="1:35">
      <c r="A13" s="62" t="s">
        <v>135</v>
      </c>
      <c r="B13" s="44">
        <f>'EMPOWERMENT GROUP'!J240</f>
        <v>0</v>
      </c>
      <c r="C13" s="103" t="e">
        <f>B14/B13*100</f>
        <v>#DIV/0!</v>
      </c>
      <c r="D13" s="44">
        <f>'EMPOWERMENT GROUP'!Q240</f>
        <v>0</v>
      </c>
      <c r="E13" s="125" t="e">
        <f>D14/D13*100</f>
        <v>#DIV/0!</v>
      </c>
      <c r="F13" s="44">
        <f>'EMPOWERMENT GROUP'!X240</f>
        <v>0</v>
      </c>
      <c r="G13" s="125" t="e">
        <f>F14/F13*100</f>
        <v>#DIV/0!</v>
      </c>
      <c r="H13" s="57">
        <f t="shared" si="0"/>
        <v>0</v>
      </c>
      <c r="I13" s="129" t="e">
        <f>H14/H13*100</f>
        <v>#DIV/0!</v>
      </c>
      <c r="J13" s="44">
        <f>'EMPOWERMENT GROUP'!AI240</f>
        <v>0</v>
      </c>
      <c r="K13" s="125" t="e">
        <f>J14/J13*100</f>
        <v>#DIV/0!</v>
      </c>
      <c r="L13" s="44">
        <f>'EMPOWERMENT GROUP'!AQ240</f>
        <v>0</v>
      </c>
      <c r="M13" s="125" t="e">
        <f>L14/L13*100</f>
        <v>#DIV/0!</v>
      </c>
      <c r="N13" s="44">
        <f>'EMPOWERMENT GROUP'!AX240</f>
        <v>0</v>
      </c>
      <c r="O13" s="125" t="e">
        <f>N14/N13*100</f>
        <v>#DIV/0!</v>
      </c>
      <c r="P13" s="57">
        <f t="shared" si="1"/>
        <v>0</v>
      </c>
      <c r="Q13" s="129" t="e">
        <f>P14/P13*100</f>
        <v>#DIV/0!</v>
      </c>
      <c r="R13" s="44">
        <f>'EMPOWERMENT GROUP'!BH240</f>
        <v>0</v>
      </c>
      <c r="S13" s="103" t="e">
        <f>R14/R13*100</f>
        <v>#DIV/0!</v>
      </c>
      <c r="T13" s="44">
        <f>'EMPOWERMENT GROUP'!BP240</f>
        <v>0</v>
      </c>
      <c r="U13" s="103" t="e">
        <f>T14/T13*100</f>
        <v>#DIV/0!</v>
      </c>
      <c r="V13" s="44">
        <f>'EMPOWERMENT GROUP'!BW240</f>
        <v>0</v>
      </c>
      <c r="W13" s="103" t="e">
        <f>V14/V13*100</f>
        <v>#DIV/0!</v>
      </c>
      <c r="X13" s="57">
        <f t="shared" si="2"/>
        <v>0</v>
      </c>
      <c r="Y13" s="129" t="e">
        <f>X14/X13*100</f>
        <v>#DIV/0!</v>
      </c>
      <c r="Z13" s="44">
        <f>'EMPOWERMENT GROUP'!CI240</f>
        <v>0</v>
      </c>
      <c r="AA13" s="103" t="e">
        <f>Z14/Z13*100</f>
        <v>#DIV/0!</v>
      </c>
      <c r="AB13" s="44">
        <f>'EMPOWERMENT GROUP'!CP240</f>
        <v>0</v>
      </c>
      <c r="AC13" s="103" t="e">
        <f>AB14/AB13*100</f>
        <v>#DIV/0!</v>
      </c>
      <c r="AD13" s="45">
        <f>'EMPOWERMENT GROUP'!CW240</f>
        <v>0</v>
      </c>
      <c r="AE13" s="103" t="e">
        <f>AD14/AD13*100</f>
        <v>#DIV/0!</v>
      </c>
      <c r="AF13" s="57">
        <f t="shared" si="3"/>
        <v>0</v>
      </c>
      <c r="AG13" s="129" t="e">
        <f>AF14/AF13*100</f>
        <v>#DIV/0!</v>
      </c>
      <c r="AH13" s="44">
        <f t="shared" si="4"/>
        <v>0</v>
      </c>
      <c r="AI13" s="129" t="e">
        <f>AH14/AH13*100</f>
        <v>#DIV/0!</v>
      </c>
    </row>
    <row r="14" spans="1:35">
      <c r="A14" s="61" t="s">
        <v>94</v>
      </c>
      <c r="B14" s="24">
        <f>'EMPOWERMENT GROUP'!H240</f>
        <v>0</v>
      </c>
      <c r="C14" s="104"/>
      <c r="D14" s="24">
        <f>'EMPOWERMENT GROUP'!O240</f>
        <v>0</v>
      </c>
      <c r="E14" s="126"/>
      <c r="F14" s="24">
        <f>'EMPOWERMENT GROUP'!V240</f>
        <v>0</v>
      </c>
      <c r="G14" s="126"/>
      <c r="H14" s="56">
        <f t="shared" si="0"/>
        <v>0</v>
      </c>
      <c r="I14" s="130"/>
      <c r="J14" s="24">
        <f>'EMPOWERMENT GROUP'!AG240</f>
        <v>0</v>
      </c>
      <c r="K14" s="126"/>
      <c r="L14" s="24">
        <f>'EMPOWERMENT GROUP'!AO240</f>
        <v>0</v>
      </c>
      <c r="M14" s="126"/>
      <c r="N14" s="24">
        <f>'EMPOWERMENT GROUP'!AV240</f>
        <v>0</v>
      </c>
      <c r="O14" s="126"/>
      <c r="P14" s="56">
        <f t="shared" si="1"/>
        <v>0</v>
      </c>
      <c r="Q14" s="130"/>
      <c r="R14" s="24">
        <f>'EMPOWERMENT GROUP'!BF240</f>
        <v>0</v>
      </c>
      <c r="S14" s="104"/>
      <c r="T14" s="24">
        <f>'EMPOWERMENT GROUP'!BN240</f>
        <v>0</v>
      </c>
      <c r="U14" s="104"/>
      <c r="V14" s="24">
        <f>'EMPOWERMENT GROUP'!BU240</f>
        <v>0</v>
      </c>
      <c r="W14" s="104"/>
      <c r="X14" s="56">
        <f t="shared" si="2"/>
        <v>0</v>
      </c>
      <c r="Y14" s="130"/>
      <c r="Z14" s="24">
        <f>'EMPOWERMENT GROUP'!CG240</f>
        <v>0</v>
      </c>
      <c r="AA14" s="104"/>
      <c r="AB14" s="24">
        <f>'EMPOWERMENT GROUP'!CN240</f>
        <v>0</v>
      </c>
      <c r="AC14" s="104"/>
      <c r="AD14" s="25">
        <f>'EMPOWERMENT GROUP'!CU240</f>
        <v>0</v>
      </c>
      <c r="AE14" s="104"/>
      <c r="AF14" s="56">
        <f t="shared" si="3"/>
        <v>0</v>
      </c>
      <c r="AG14" s="130"/>
      <c r="AH14" s="24">
        <f t="shared" si="4"/>
        <v>0</v>
      </c>
      <c r="AI14" s="130"/>
    </row>
    <row r="15" spans="1:35" ht="24">
      <c r="A15" s="61" t="s">
        <v>95</v>
      </c>
      <c r="B15" s="77">
        <f>'EMPOWERMENT GROUP'!C353</f>
        <v>0</v>
      </c>
      <c r="C15" s="64"/>
      <c r="D15" s="77">
        <f>'EMPOWERMENT GROUP'!K353</f>
        <v>0</v>
      </c>
      <c r="E15" s="64"/>
      <c r="F15" s="77" t="e">
        <f>'EMPOWERMENT GROUP'!R353</f>
        <v>#REF!</v>
      </c>
      <c r="G15" s="64"/>
      <c r="H15" s="64"/>
      <c r="I15" s="64"/>
      <c r="J15" s="77">
        <f>'EMPOWERMENT GROUP'!AC353</f>
        <v>0</v>
      </c>
      <c r="K15" s="64"/>
      <c r="L15" s="77">
        <f>'EMPOWERMENT GROUP'!AJ353</f>
        <v>0</v>
      </c>
      <c r="M15" s="64"/>
      <c r="N15" s="77" t="e">
        <f>'EMPOWERMENT GROUP'!AR353</f>
        <v>#REF!</v>
      </c>
      <c r="O15" s="64"/>
      <c r="P15" s="64"/>
      <c r="Q15" s="64"/>
      <c r="R15" s="77">
        <f>'EMPOWERMENT GROUP'!BB353</f>
        <v>0</v>
      </c>
      <c r="S15" s="64"/>
      <c r="T15" s="77">
        <f>'EMPOWERMENT GROUP'!BI353</f>
        <v>0</v>
      </c>
      <c r="U15" s="64"/>
      <c r="V15" s="77">
        <f>'EMPOWERMENT GROUP'!BQ353</f>
        <v>0</v>
      </c>
      <c r="W15" s="64"/>
      <c r="X15" s="64"/>
      <c r="Y15" s="64"/>
      <c r="Z15" s="77">
        <f>'EMPOWERMENT GROUP'!CB353</f>
        <v>0</v>
      </c>
      <c r="AA15" s="64"/>
      <c r="AB15" s="77" t="e">
        <f>'EMPOWERMENT GROUP'!CJ353</f>
        <v>#REF!</v>
      </c>
      <c r="AC15" s="65"/>
      <c r="AD15" s="77">
        <f>'EMPOWERMENT GROUP'!CQ353</f>
        <v>0</v>
      </c>
      <c r="AE15" s="65"/>
      <c r="AF15" s="64"/>
      <c r="AG15" s="64"/>
      <c r="AH15" s="77" t="e">
        <f>SUM(B15:AD15)/12</f>
        <v>#REF!</v>
      </c>
      <c r="AI15" s="46"/>
    </row>
    <row r="16" spans="1:35">
      <c r="A16" s="61" t="s">
        <v>141</v>
      </c>
      <c r="B16" s="46"/>
      <c r="C16" s="46"/>
      <c r="D16" s="46"/>
      <c r="E16" s="46"/>
      <c r="F16" s="66"/>
      <c r="G16" s="64"/>
      <c r="H16" s="77">
        <f>Computation!AA3</f>
        <v>0</v>
      </c>
      <c r="I16" s="64"/>
      <c r="J16" s="46"/>
      <c r="K16" s="46"/>
      <c r="L16" s="46"/>
      <c r="M16" s="46"/>
      <c r="N16" s="66"/>
      <c r="O16" s="64"/>
      <c r="P16" s="77" t="e">
        <f>Computation!AB3</f>
        <v>#REF!</v>
      </c>
      <c r="Q16" s="64"/>
      <c r="R16" s="46"/>
      <c r="S16" s="46"/>
      <c r="T16" s="46"/>
      <c r="U16" s="46"/>
      <c r="V16" s="66"/>
      <c r="W16" s="64"/>
      <c r="X16" s="77">
        <f>Computation!AC3</f>
        <v>0</v>
      </c>
      <c r="Y16" s="64"/>
      <c r="Z16" s="46"/>
      <c r="AA16" s="46"/>
      <c r="AB16" s="46"/>
      <c r="AC16" s="67"/>
      <c r="AD16" s="66"/>
      <c r="AE16" s="65"/>
      <c r="AF16" s="77">
        <f>Computation!AD3</f>
        <v>0</v>
      </c>
      <c r="AG16" s="64"/>
      <c r="AH16" s="46" t="e">
        <f>SUM(B16:AF16)/4</f>
        <v>#REF!</v>
      </c>
      <c r="AI16" s="46"/>
    </row>
    <row r="17" spans="1:36">
      <c r="A17" s="61" t="s">
        <v>142</v>
      </c>
      <c r="B17" s="3">
        <f>'EMPOWERMENT GROUP'!H348</f>
        <v>0</v>
      </c>
      <c r="C17" s="3"/>
      <c r="D17" s="3">
        <f>'EMPOWERMENT GROUP'!O348</f>
        <v>0</v>
      </c>
      <c r="E17" s="3"/>
      <c r="F17" s="3">
        <f>'EMPOWERMENT GROUP'!V348</f>
        <v>0</v>
      </c>
      <c r="G17" s="3"/>
      <c r="H17" s="46">
        <f>B17+D17+F17</f>
        <v>0</v>
      </c>
      <c r="I17" s="3"/>
      <c r="J17" s="3">
        <f>'EMPOWERMENT GROUP'!AG348</f>
        <v>0</v>
      </c>
      <c r="K17" s="3"/>
      <c r="L17" s="3">
        <f>'EMPOWERMENT GROUP'!AO348</f>
        <v>0</v>
      </c>
      <c r="M17" s="3"/>
      <c r="N17" s="3">
        <f>'EMPOWERMENT GROUP'!AV348</f>
        <v>0</v>
      </c>
      <c r="O17" s="3"/>
      <c r="P17" s="46">
        <f>J17+L17+N17</f>
        <v>0</v>
      </c>
      <c r="Q17" s="3"/>
      <c r="R17" s="3">
        <f>'EMPOWERMENT GROUP'!BF348</f>
        <v>0</v>
      </c>
      <c r="S17" s="3"/>
      <c r="T17" s="3">
        <f>'EMPOWERMENT GROUP'!BN348</f>
        <v>0</v>
      </c>
      <c r="U17" s="3"/>
      <c r="V17" s="3">
        <f>'EMPOWERMENT GROUP'!BU348</f>
        <v>0</v>
      </c>
      <c r="W17" s="3"/>
      <c r="X17" s="46">
        <f>R17+T17+V17</f>
        <v>0</v>
      </c>
      <c r="Y17" s="3"/>
      <c r="Z17" s="3">
        <f>'EMPOWERMENT GROUP'!CG348</f>
        <v>0</v>
      </c>
      <c r="AA17" s="3"/>
      <c r="AB17" s="3">
        <f>'EMPOWERMENT GROUP'!CN348</f>
        <v>0</v>
      </c>
      <c r="AC17" s="5"/>
      <c r="AD17" s="5">
        <f>'EMPOWERMENT GROUP'!CU348</f>
        <v>0</v>
      </c>
      <c r="AE17" s="5"/>
      <c r="AF17" s="46">
        <f>Z17+AB17+AD17</f>
        <v>0</v>
      </c>
      <c r="AG17" s="3"/>
      <c r="AH17" s="3"/>
      <c r="AJ17" s="2" t="s">
        <v>96</v>
      </c>
    </row>
    <row r="18" spans="1:36">
      <c r="A18" s="61" t="s">
        <v>143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5"/>
      <c r="AD18" s="5"/>
      <c r="AE18" s="5"/>
      <c r="AF18" s="3"/>
      <c r="AG18" s="3"/>
      <c r="AH18" s="3"/>
      <c r="AJ18" s="2" t="str">
        <f>AJ17</f>
        <v>43/12</v>
      </c>
    </row>
    <row r="19" spans="1:36">
      <c r="A19" s="61" t="s">
        <v>144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5"/>
      <c r="AD19" s="5"/>
      <c r="AE19" s="5"/>
      <c r="AF19" s="3"/>
      <c r="AG19" s="3"/>
      <c r="AH19" s="3"/>
      <c r="AJ19" s="2">
        <f>43/12</f>
        <v>3.5833333333333335</v>
      </c>
    </row>
    <row r="20" spans="1:36">
      <c r="A20" s="6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5"/>
      <c r="AD20" s="5"/>
      <c r="AE20" s="5"/>
      <c r="AF20" s="3"/>
      <c r="AG20" s="3"/>
      <c r="AH20" s="3"/>
    </row>
    <row r="21" spans="1:36">
      <c r="A21" s="6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5"/>
      <c r="AD21" s="5"/>
      <c r="AE21" s="5"/>
      <c r="AF21" s="3"/>
      <c r="AG21" s="3"/>
      <c r="AH21" s="3"/>
    </row>
    <row r="22" spans="1:36">
      <c r="A22" s="61"/>
      <c r="B22" s="3"/>
      <c r="C22" s="3"/>
      <c r="D22" s="3"/>
      <c r="E22" s="3"/>
      <c r="F22" s="3"/>
      <c r="G22" s="3"/>
      <c r="H22" s="3"/>
      <c r="I22" s="3"/>
      <c r="J22" s="3"/>
      <c r="K22" s="3"/>
      <c r="L22" s="80"/>
      <c r="M22" s="80"/>
      <c r="N22" s="80"/>
      <c r="O22" s="80"/>
      <c r="P22" s="81"/>
      <c r="Q22" s="80"/>
      <c r="R22" s="79"/>
      <c r="S22" s="3"/>
      <c r="T22" s="3"/>
      <c r="U22" s="3"/>
      <c r="V22" s="3"/>
      <c r="W22" s="3"/>
      <c r="X22" s="3"/>
      <c r="Y22" s="3"/>
      <c r="Z22" s="3"/>
      <c r="AA22" s="3"/>
      <c r="AB22" s="3"/>
      <c r="AC22" s="5"/>
      <c r="AD22" s="5"/>
      <c r="AE22" s="5"/>
      <c r="AF22" s="3"/>
      <c r="AG22" s="3"/>
      <c r="AH22" s="3"/>
    </row>
    <row r="23" spans="1:36">
      <c r="A23" s="61"/>
      <c r="B23" s="3"/>
      <c r="C23" s="3"/>
      <c r="D23" s="3"/>
      <c r="E23" s="3"/>
      <c r="F23" s="3"/>
      <c r="G23" s="3"/>
      <c r="H23" s="3"/>
      <c r="I23" s="3"/>
      <c r="J23" s="3"/>
      <c r="K23" s="3"/>
      <c r="L23" s="80"/>
      <c r="M23" s="80"/>
      <c r="N23" s="80"/>
      <c r="O23" s="80"/>
      <c r="P23" s="81"/>
      <c r="Q23" s="80"/>
      <c r="R23" s="79"/>
      <c r="S23" s="3"/>
      <c r="T23" s="3"/>
      <c r="U23" s="3"/>
      <c r="V23" s="3"/>
      <c r="W23" s="3"/>
      <c r="X23" s="3"/>
      <c r="Y23" s="3"/>
      <c r="Z23" s="3"/>
      <c r="AA23" s="3"/>
      <c r="AB23" s="3"/>
      <c r="AC23" s="5"/>
      <c r="AD23" s="5"/>
      <c r="AE23" s="5"/>
      <c r="AF23" s="3"/>
      <c r="AG23" s="3"/>
      <c r="AH23" s="3"/>
    </row>
    <row r="24" spans="1:36">
      <c r="A24" s="61"/>
      <c r="B24" s="3"/>
      <c r="C24" s="3"/>
      <c r="D24" s="3"/>
      <c r="E24" s="3"/>
      <c r="F24" s="3"/>
      <c r="G24" s="3"/>
      <c r="H24" s="3"/>
      <c r="I24" s="3"/>
      <c r="J24" s="3"/>
      <c r="K24" s="3"/>
      <c r="L24" s="80"/>
      <c r="M24" s="79"/>
      <c r="N24" s="79"/>
      <c r="O24" s="79"/>
      <c r="P24" s="81"/>
      <c r="Q24" s="80"/>
      <c r="R24" s="79"/>
      <c r="S24" s="3"/>
      <c r="T24" s="3"/>
      <c r="U24" s="3"/>
      <c r="V24" s="3"/>
      <c r="W24" s="3"/>
      <c r="X24" s="3"/>
      <c r="Y24" s="3"/>
      <c r="Z24" s="3"/>
      <c r="AA24" s="3"/>
      <c r="AB24" s="3"/>
      <c r="AC24" s="5"/>
      <c r="AD24" s="5"/>
      <c r="AE24" s="5"/>
      <c r="AF24" s="3"/>
      <c r="AG24" s="3"/>
      <c r="AH24" s="3"/>
    </row>
    <row r="25" spans="1:36">
      <c r="A25" s="61"/>
      <c r="B25" s="3"/>
      <c r="C25" s="3"/>
      <c r="D25" s="3"/>
      <c r="E25" s="3"/>
      <c r="F25" s="3"/>
      <c r="G25" s="3"/>
      <c r="H25" s="3"/>
      <c r="I25" s="3"/>
      <c r="J25" s="3"/>
      <c r="K25" s="3"/>
      <c r="L25" s="80"/>
      <c r="M25" s="79"/>
      <c r="N25" s="79"/>
      <c r="O25" s="79"/>
      <c r="P25" s="81"/>
      <c r="Q25" s="80"/>
      <c r="R25" s="79"/>
      <c r="S25" s="3"/>
      <c r="T25" s="3"/>
      <c r="U25" s="3"/>
      <c r="V25" s="3"/>
      <c r="W25" s="3"/>
      <c r="X25" s="3"/>
      <c r="Y25" s="3"/>
      <c r="Z25" s="3"/>
      <c r="AA25" s="3"/>
      <c r="AB25" s="3"/>
      <c r="AC25" s="5"/>
      <c r="AD25" s="5"/>
      <c r="AE25" s="5"/>
      <c r="AF25" s="3"/>
      <c r="AG25" s="3"/>
      <c r="AH25" s="3"/>
    </row>
    <row r="26" spans="1:36">
      <c r="A26" s="61"/>
      <c r="B26" s="3"/>
      <c r="C26" s="3"/>
      <c r="D26" s="3"/>
      <c r="E26" s="3"/>
      <c r="F26" s="3"/>
      <c r="G26" s="3"/>
      <c r="H26" s="3"/>
      <c r="I26" s="3"/>
      <c r="J26" s="3"/>
      <c r="K26" s="3"/>
      <c r="L26" s="79"/>
      <c r="M26" s="79"/>
      <c r="N26" s="79"/>
      <c r="O26" s="79"/>
      <c r="P26" s="79"/>
      <c r="Q26" s="79"/>
      <c r="R26" s="79"/>
      <c r="S26" s="3"/>
      <c r="T26" s="3"/>
      <c r="U26" s="3"/>
      <c r="V26" s="3"/>
      <c r="W26" s="3"/>
      <c r="X26" s="3"/>
      <c r="Y26" s="3"/>
      <c r="Z26" s="3"/>
      <c r="AA26" s="3"/>
      <c r="AB26" s="3"/>
      <c r="AC26" s="5"/>
      <c r="AD26" s="5"/>
      <c r="AE26" s="5"/>
      <c r="AF26" s="3"/>
      <c r="AG26" s="3"/>
      <c r="AH26" s="3"/>
    </row>
    <row r="27" spans="1:36">
      <c r="A27" s="6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6"/>
      <c r="AD27" s="6"/>
      <c r="AE27" s="6"/>
      <c r="AF27" s="4"/>
      <c r="AG27" s="4"/>
      <c r="AH27" s="4"/>
    </row>
  </sheetData>
  <mergeCells count="102">
    <mergeCell ref="M7:M8"/>
    <mergeCell ref="M9:M10"/>
    <mergeCell ref="M11:M12"/>
    <mergeCell ref="M13:M14"/>
    <mergeCell ref="O3:O4"/>
    <mergeCell ref="O5:O6"/>
    <mergeCell ref="O7:O8"/>
    <mergeCell ref="O9:O10"/>
    <mergeCell ref="O11:O12"/>
    <mergeCell ref="Q7:Q8"/>
    <mergeCell ref="Q9:Q10"/>
    <mergeCell ref="Q11:Q12"/>
    <mergeCell ref="Q13:Q14"/>
    <mergeCell ref="AG3:AG4"/>
    <mergeCell ref="AG5:AG6"/>
    <mergeCell ref="AG7:AG8"/>
    <mergeCell ref="AG9:AG10"/>
    <mergeCell ref="AG11:AG12"/>
    <mergeCell ref="AG13:AG14"/>
    <mergeCell ref="U13:U14"/>
    <mergeCell ref="S3:S4"/>
    <mergeCell ref="S5:S6"/>
    <mergeCell ref="S7:S8"/>
    <mergeCell ref="S9:S10"/>
    <mergeCell ref="S11:S12"/>
    <mergeCell ref="S13:S14"/>
    <mergeCell ref="U3:U4"/>
    <mergeCell ref="U5:U6"/>
    <mergeCell ref="U7:U8"/>
    <mergeCell ref="U9:U10"/>
    <mergeCell ref="U11:U12"/>
    <mergeCell ref="AA13:AA14"/>
    <mergeCell ref="W3:W4"/>
    <mergeCell ref="AI13:AI14"/>
    <mergeCell ref="I3:I4"/>
    <mergeCell ref="I5:I6"/>
    <mergeCell ref="I7:I8"/>
    <mergeCell ref="I9:I10"/>
    <mergeCell ref="I11:I12"/>
    <mergeCell ref="I13:I14"/>
    <mergeCell ref="Y3:Y4"/>
    <mergeCell ref="Y5:Y6"/>
    <mergeCell ref="Y7:Y8"/>
    <mergeCell ref="Y9:Y10"/>
    <mergeCell ref="Y11:Y12"/>
    <mergeCell ref="Y13:Y14"/>
    <mergeCell ref="Q3:Q4"/>
    <mergeCell ref="Q5:Q6"/>
    <mergeCell ref="AI3:AI4"/>
    <mergeCell ref="AI5:AI6"/>
    <mergeCell ref="AI7:AI8"/>
    <mergeCell ref="AI9:AI10"/>
    <mergeCell ref="AI11:AI12"/>
    <mergeCell ref="K13:K14"/>
    <mergeCell ref="O13:O14"/>
    <mergeCell ref="M3:M4"/>
    <mergeCell ref="M5:M6"/>
    <mergeCell ref="E13:E14"/>
    <mergeCell ref="C3:C4"/>
    <mergeCell ref="C5:C6"/>
    <mergeCell ref="C7:C8"/>
    <mergeCell ref="C9:C10"/>
    <mergeCell ref="C11:C12"/>
    <mergeCell ref="C13:C14"/>
    <mergeCell ref="E3:E4"/>
    <mergeCell ref="E5:E6"/>
    <mergeCell ref="E7:E8"/>
    <mergeCell ref="E9:E10"/>
    <mergeCell ref="E11:E12"/>
    <mergeCell ref="G3:G4"/>
    <mergeCell ref="G5:G6"/>
    <mergeCell ref="G7:G8"/>
    <mergeCell ref="G9:G10"/>
    <mergeCell ref="G11:G12"/>
    <mergeCell ref="G13:G14"/>
    <mergeCell ref="K3:K4"/>
    <mergeCell ref="K5:K6"/>
    <mergeCell ref="K7:K8"/>
    <mergeCell ref="K9:K10"/>
    <mergeCell ref="K11:K12"/>
    <mergeCell ref="W5:W6"/>
    <mergeCell ref="W7:W8"/>
    <mergeCell ref="W9:W10"/>
    <mergeCell ref="W11:W12"/>
    <mergeCell ref="W13:W14"/>
    <mergeCell ref="AA3:AA4"/>
    <mergeCell ref="AA5:AA6"/>
    <mergeCell ref="AA7:AA8"/>
    <mergeCell ref="AA9:AA10"/>
    <mergeCell ref="AA11:AA12"/>
    <mergeCell ref="AE13:AE14"/>
    <mergeCell ref="AC3:AC4"/>
    <mergeCell ref="AC5:AC6"/>
    <mergeCell ref="AC7:AC8"/>
    <mergeCell ref="AC9:AC10"/>
    <mergeCell ref="AC11:AC12"/>
    <mergeCell ref="AC13:AC14"/>
    <mergeCell ref="AE3:AE4"/>
    <mergeCell ref="AE5:AE6"/>
    <mergeCell ref="AE7:AE8"/>
    <mergeCell ref="AE9:AE10"/>
    <mergeCell ref="AE11:AE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D6"/>
  <sheetViews>
    <sheetView workbookViewId="0">
      <selection activeCell="W6" sqref="W6"/>
    </sheetView>
  </sheetViews>
  <sheetFormatPr defaultColWidth="9" defaultRowHeight="14.4"/>
  <cols>
    <col min="2" max="2" width="3.6640625" customWidth="1"/>
    <col min="3" max="3" width="4" customWidth="1"/>
    <col min="4" max="4" width="4.44140625" customWidth="1"/>
    <col min="5" max="5" width="4" customWidth="1"/>
    <col min="6" max="6" width="5.33203125" customWidth="1"/>
    <col min="7" max="7" width="3.88671875" customWidth="1"/>
    <col min="8" max="8" width="3.33203125" customWidth="1"/>
    <col min="9" max="9" width="4.33203125" customWidth="1"/>
    <col min="10" max="10" width="4.6640625" customWidth="1"/>
    <col min="11" max="11" width="3.88671875" customWidth="1"/>
    <col min="12" max="12" width="4.44140625" customWidth="1"/>
    <col min="13" max="13" width="4.109375" customWidth="1"/>
    <col min="15" max="15" width="10.109375" customWidth="1"/>
    <col min="16" max="16" width="10.88671875" customWidth="1"/>
    <col min="17" max="18" width="10.44140625" customWidth="1"/>
    <col min="20" max="20" width="15.6640625" customWidth="1"/>
    <col min="21" max="21" width="13.44140625" customWidth="1"/>
    <col min="23" max="23" width="20.88671875" customWidth="1"/>
    <col min="24" max="24" width="21.33203125" customWidth="1"/>
    <col min="25" max="25" width="20.6640625" customWidth="1"/>
    <col min="27" max="27" width="16.6640625" customWidth="1"/>
    <col min="28" max="28" width="17.6640625" customWidth="1"/>
    <col min="29" max="30" width="17.33203125" customWidth="1"/>
  </cols>
  <sheetData>
    <row r="2" spans="2:30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97</v>
      </c>
      <c r="P2" t="s">
        <v>98</v>
      </c>
      <c r="Q2" t="s">
        <v>99</v>
      </c>
      <c r="R2" t="s">
        <v>100</v>
      </c>
      <c r="T2" t="s">
        <v>101</v>
      </c>
      <c r="U2" t="s">
        <v>102</v>
      </c>
      <c r="W2" t="s">
        <v>103</v>
      </c>
      <c r="X2" t="s">
        <v>104</v>
      </c>
      <c r="Y2" t="s">
        <v>105</v>
      </c>
      <c r="AA2" t="s">
        <v>106</v>
      </c>
      <c r="AB2" t="s">
        <v>107</v>
      </c>
      <c r="AC2" t="s">
        <v>108</v>
      </c>
      <c r="AD2" t="s">
        <v>109</v>
      </c>
    </row>
    <row r="3" spans="2:30">
      <c r="B3" s="1">
        <f>SUM('EMPOWERMENT GROUP'!C349:G349)</f>
        <v>0</v>
      </c>
      <c r="C3">
        <f>SUM('EMPOWERMENT GROUP'!K349:N349)</f>
        <v>0</v>
      </c>
      <c r="D3">
        <f>SUM('EMPOWERMENT GROUP'!R349:U349)</f>
        <v>0</v>
      </c>
      <c r="E3">
        <f>SUM('EMPOWERMENT GROUP'!AC349:AF349)</f>
        <v>0</v>
      </c>
      <c r="F3">
        <f>SUM('EMPOWERMENT GROUP'!AJ349:AN349)</f>
        <v>0</v>
      </c>
      <c r="G3">
        <f>SUM('EMPOWERMENT GROUP'!AR349:AU349)</f>
        <v>0</v>
      </c>
      <c r="H3">
        <f>SUM('EMPOWERMENT GROUP'!BB349:BE349)</f>
        <v>0</v>
      </c>
      <c r="I3">
        <f>SUM('EMPOWERMENT GROUP'!BI349:BM349)</f>
        <v>0</v>
      </c>
      <c r="J3">
        <f>SUM('EMPOWERMENT GROUP'!BQ349:BT349)</f>
        <v>0</v>
      </c>
      <c r="K3">
        <f>SUM('EMPOWERMENT GROUP'!CB349:CF349)</f>
        <v>0</v>
      </c>
      <c r="L3">
        <f>SUM('EMPOWERMENT GROUP'!CJ349:CM349)</f>
        <v>0</v>
      </c>
      <c r="M3">
        <f>SUM('EMPOWERMENT GROUP'!CQ349:CT349)</f>
        <v>0</v>
      </c>
      <c r="O3">
        <f>SUM('EMPOWERMENT GROUP'!C349:T349)</f>
        <v>0</v>
      </c>
      <c r="P3" t="e">
        <f>'EMPOWERMENT GROUP'!AC349+'EMPOWERMENT GROUP'!AD349+'EMPOWERMENT GROUP'!AE349+'EMPOWERMENT GROUP'!AF349+'EMPOWERMENT GROUP'!AJ349+'EMPOWERMENT GROUP'!AL349+'EMPOWERMENT GROUP'!AM349+'EMPOWERMENT GROUP'!AN349+'EMPOWERMENT GROUP'!AR349+'EMPOWERMENT GROUP'!AS349+'EMPOWERMENT GROUP'!AT349+'EMPOWERMENT GROUP'!#REF!</f>
        <v>#REF!</v>
      </c>
      <c r="Q3">
        <f>SUM('EMPOWERMENT GROUP'!BB349:BS349)</f>
        <v>0</v>
      </c>
      <c r="R3">
        <f>SUM('EMPOWERMENT GROUP'!CB349:CS349)</f>
        <v>0</v>
      </c>
      <c r="T3">
        <f>SUM(B3:M3)</f>
        <v>0</v>
      </c>
      <c r="U3">
        <f>T3/12</f>
        <v>0</v>
      </c>
      <c r="W3" t="e">
        <f>(P3-O3)/O3</f>
        <v>#REF!</v>
      </c>
      <c r="X3" t="e">
        <f>(Q3-P3)/P3</f>
        <v>#REF!</v>
      </c>
      <c r="Y3" t="e">
        <f>(R3-Q3)/Q3</f>
        <v>#DIV/0!</v>
      </c>
      <c r="AA3">
        <f>O3/12</f>
        <v>0</v>
      </c>
      <c r="AB3" t="e">
        <f>P3/12</f>
        <v>#REF!</v>
      </c>
      <c r="AC3">
        <f>Q3/10</f>
        <v>0</v>
      </c>
      <c r="AD3">
        <f>R3/12</f>
        <v>0</v>
      </c>
    </row>
    <row r="5" spans="2:30">
      <c r="B5" t="s">
        <v>110</v>
      </c>
      <c r="C5" t="s">
        <v>111</v>
      </c>
      <c r="D5" t="s">
        <v>112</v>
      </c>
      <c r="E5" t="s">
        <v>113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s">
        <v>119</v>
      </c>
      <c r="L5" t="s">
        <v>120</v>
      </c>
      <c r="M5" t="s">
        <v>121</v>
      </c>
      <c r="O5" t="s">
        <v>122</v>
      </c>
      <c r="P5" t="s">
        <v>123</v>
      </c>
      <c r="Q5" t="s">
        <v>124</v>
      </c>
      <c r="R5" t="s">
        <v>125</v>
      </c>
      <c r="W5" t="s">
        <v>126</v>
      </c>
      <c r="X5" t="s">
        <v>127</v>
      </c>
      <c r="Y5" t="s">
        <v>128</v>
      </c>
      <c r="AA5" t="s">
        <v>129</v>
      </c>
      <c r="AB5" t="s">
        <v>130</v>
      </c>
      <c r="AC5" t="s">
        <v>131</v>
      </c>
      <c r="AD5" t="s">
        <v>132</v>
      </c>
    </row>
    <row r="6" spans="2:30">
      <c r="B6">
        <v>14</v>
      </c>
      <c r="C6">
        <v>11</v>
      </c>
      <c r="D6">
        <v>19</v>
      </c>
      <c r="E6">
        <v>15</v>
      </c>
      <c r="F6">
        <v>11</v>
      </c>
      <c r="G6">
        <v>7</v>
      </c>
      <c r="H6">
        <v>6</v>
      </c>
      <c r="I6">
        <v>10</v>
      </c>
      <c r="J6">
        <v>9</v>
      </c>
      <c r="K6">
        <v>2</v>
      </c>
      <c r="L6">
        <v>11</v>
      </c>
      <c r="M6">
        <v>12</v>
      </c>
      <c r="O6">
        <v>43</v>
      </c>
      <c r="P6">
        <v>33</v>
      </c>
      <c r="Q6">
        <v>23</v>
      </c>
      <c r="R6">
        <v>24</v>
      </c>
      <c r="T6" t="s">
        <v>133</v>
      </c>
      <c r="W6">
        <v>-0.232558139534884</v>
      </c>
      <c r="X6">
        <v>-0.30303030303030298</v>
      </c>
      <c r="Y6">
        <v>4.3478260869565202E-2</v>
      </c>
      <c r="AA6">
        <v>3.5833333333333299</v>
      </c>
      <c r="AB6">
        <v>2.75</v>
      </c>
      <c r="AC6">
        <v>1.9166666666666701</v>
      </c>
      <c r="AD6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b6cdb8-c67e-46d1-a395-a62f0405c85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75580D7215EF4487419995C50D4D4C" ma:contentTypeVersion="8" ma:contentTypeDescription="Crée un document." ma:contentTypeScope="" ma:versionID="d6010c90e5036edd6d9c1a280986d55e">
  <xsd:schema xmlns:xsd="http://www.w3.org/2001/XMLSchema" xmlns:xs="http://www.w3.org/2001/XMLSchema" xmlns:p="http://schemas.microsoft.com/office/2006/metadata/properties" xmlns:ns3="74b6cdb8-c67e-46d1-a395-a62f0405c854" xmlns:ns4="ff1ad17d-a53c-45e4-992f-9fd7ded4429f" targetNamespace="http://schemas.microsoft.com/office/2006/metadata/properties" ma:root="true" ma:fieldsID="668fcf13b40c6fec34351d1c747124f4" ns3:_="" ns4:_="">
    <xsd:import namespace="74b6cdb8-c67e-46d1-a395-a62f0405c854"/>
    <xsd:import namespace="ff1ad17d-a53c-45e4-992f-9fd7ded4429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6cdb8-c67e-46d1-a395-a62f0405c8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ad17d-a53c-45e4-992f-9fd7ded4429f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5903A4-97BA-43E4-9D21-61E41F8835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0477FB-4276-4CE4-A508-29717A0673B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dcmitype/"/>
    <ds:schemaRef ds:uri="ff1ad17d-a53c-45e4-992f-9fd7ded4429f"/>
    <ds:schemaRef ds:uri="74b6cdb8-c67e-46d1-a395-a62f0405c854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04E5D67-7C61-4AEE-937F-53EA8FAD39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b6cdb8-c67e-46d1-a395-a62f0405c854"/>
    <ds:schemaRef ds:uri="ff1ad17d-a53c-45e4-992f-9fd7ded442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EMPOWERMENT GROUP</vt:lpstr>
      <vt:lpstr>REPORTING DATA</vt:lpstr>
      <vt:lpstr>Computation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Amadu Kargbo</dc:creator>
  <cp:keywords/>
  <dc:description/>
  <cp:lastModifiedBy>Amadu Kargbo</cp:lastModifiedBy>
  <dcterms:created xsi:type="dcterms:W3CDTF">2015-06-05T18:17:00Z</dcterms:created>
  <dcterms:modified xsi:type="dcterms:W3CDTF">2026-01-09T17:44:16Z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DB95E7977F4C46259C8A188B725A5DDB_12</vt:lpwstr>
  </property>
  <property fmtid="{D5CDD505-2E9C-101B-9397-08002B2CF9AE}" pid="3" name="KSOProductBuildVer">
    <vt:lpwstr>1033-12.2.0.17153</vt:lpwstr>
  </property>
  <property fmtid="{D5CDD505-2E9C-101B-9397-08002B2CF9AE}" pid="4" name="ContentTypeId">
    <vt:lpwstr>0x0101009F75580D7215EF4487419995C50D4D4C</vt:lpwstr>
  </property>
</Properties>
</file>